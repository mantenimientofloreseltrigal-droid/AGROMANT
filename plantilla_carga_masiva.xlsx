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Carg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<sst xmlns="http://schemas.openxmlformats.org/spreadsheetml/2006/main" count="979" uniqueCount="149">
  <si>
    <t xml:space="preserve">Plantilla de carga masiva — Cotizaciones de proveedores</t>
  </si>
  <si>
    <t xml:space="preserve">Cómo usar esta plantilla:</t>
  </si>
  <si>
    <t xml:space="preserve">1. Cada fila es UNA línea de costo. Varias filas con el mismo ot_id forman UNA cotización con varios ítems.</t>
  </si>
  <si>
    <t xml:space="preserve">2. Las columnas fecha, proveedor, sede, descripción, cantidad y precio_unitario ya vienen extraídas de tus PDF — revísalas.</t>
  </si>
  <si>
    <t xml:space="preserve">3. Las columnas centro_costo, categoria y tipo son SUGERENCIAS (categoria/tipo) o están en blanco (centro_costo) —</t>
  </si>
  <si>
    <t xml:space="preserve">   confírmalas o corrígelas tú antes de cargar. Si categoria no coincide exactamente con tu catálogo, la fila no se podrá asignar a ninguna categoría.</t>
  </si>
  <si>
    <t xml:space="preserve">4. total_linea se calcula solo (cantidad × precio_unitario) — no lo edites a mano.</t>
  </si>
  <si>
    <t xml:space="preserve">5. Sedes válidas: OLAS o MANANTIALES (mayúsculas, sin tilde).</t>
  </si>
  <si>
    <t xml:space="preserve">6. estado válido: PENDIENTE, EN PROCESO o CERRADO.</t>
  </si>
  <si>
    <t xml:space="preserve">7. No cambies los encabezados de la hoja 'Carga' ni el nombre de la hoja.</t>
  </si>
  <si>
    <t xml:space="preserve">8. Sube este archivo desde la pestaña Carga Masiva de AgroMant.</t>
  </si>
  <si>
    <t xml:space="preserve">Nota sobre WL-0080:</t>
  </si>
  <si>
    <t xml:space="preserve">El código original en el PDF de W&amp;L era solo "0080". Le agregué el prefijo WL- para que no choque</t>
  </si>
  <si>
    <t xml:space="preserve">con futuras cotizaciones de otro proveedor que también use números cortos.</t>
  </si>
  <si>
    <t xml:space="preserve">ot_id</t>
  </si>
  <si>
    <t xml:space="preserve">fecha</t>
  </si>
  <si>
    <t xml:space="preserve">proveedor</t>
  </si>
  <si>
    <t xml:space="preserve">sede</t>
  </si>
  <si>
    <t xml:space="preserve">centro_costo</t>
  </si>
  <si>
    <t xml:space="preserve">categoria</t>
  </si>
  <si>
    <t xml:space="preserve">tipo</t>
  </si>
  <si>
    <t xml:space="preserve">labor</t>
  </si>
  <si>
    <t xml:space="preserve">descripcion</t>
  </si>
  <si>
    <t xml:space="preserve">ubicacion</t>
  </si>
  <si>
    <t xml:space="preserve">cantidad</t>
  </si>
  <si>
    <t xml:space="preserve">precio_unitario</t>
  </si>
  <si>
    <t xml:space="preserve">total_linea</t>
  </si>
  <si>
    <t xml:space="preserve">estado</t>
  </si>
  <si>
    <t xml:space="preserve">CT-03008</t>
  </si>
  <si>
    <t xml:space="preserve">2025-07-13</t>
  </si>
  <si>
    <t xml:space="preserve">CONSTRUSER INVERNADEROS</t>
  </si>
  <si>
    <t xml:space="preserve">MANANTIALES</t>
  </si>
  <si>
    <t xml:space="preserve">Invernaderos</t>
  </si>
  <si>
    <t xml:space="preserve">Reparación estructural</t>
  </si>
  <si>
    <t xml:space="preserve">Mano de obra</t>
  </si>
  <si>
    <t xml:space="preserve">Instalación de líneas para montaje de alero</t>
  </si>
  <si>
    <t xml:space="preserve">GENERAL</t>
  </si>
  <si>
    <t xml:space="preserve">CERRADO</t>
  </si>
  <si>
    <t xml:space="preserve">Cambio de cubiertas</t>
  </si>
  <si>
    <t xml:space="preserve">Corte de teja termoacústica</t>
  </si>
  <si>
    <t xml:space="preserve">Mantenimiento general</t>
  </si>
  <si>
    <t xml:space="preserve">Instalación de malla mosquitera</t>
  </si>
  <si>
    <t xml:space="preserve">CT-03017</t>
  </si>
  <si>
    <t xml:space="preserve">2025-07-30</t>
  </si>
  <si>
    <t xml:space="preserve">Fabricación y montaje de puerta cortina, ingreso bloques 12 y 15</t>
  </si>
  <si>
    <t xml:space="preserve">BLOQUE 12-15</t>
  </si>
  <si>
    <t xml:space="preserve">CT-03010</t>
  </si>
  <si>
    <t xml:space="preserve">2025-07-01</t>
  </si>
  <si>
    <t xml:space="preserve">Instalación en zaranes para tapar flor</t>
  </si>
  <si>
    <t xml:space="preserve">Instalación de anclajes</t>
  </si>
  <si>
    <t xml:space="preserve">Tapada de cable vía</t>
  </si>
  <si>
    <t xml:space="preserve">Jornal en mantenimiento de invernadero general</t>
  </si>
  <si>
    <t xml:space="preserve">2025-07-02</t>
  </si>
  <si>
    <t xml:space="preserve">Cambio de cubierta cable vía</t>
  </si>
  <si>
    <t xml:space="preserve">Arreglo de zarán</t>
  </si>
  <si>
    <t xml:space="preserve">BLOQUE 14</t>
  </si>
  <si>
    <t xml:space="preserve">2025-07-03</t>
  </si>
  <si>
    <t xml:space="preserve">Retensada</t>
  </si>
  <si>
    <t xml:space="preserve">Organizada de zarán</t>
  </si>
  <si>
    <t xml:space="preserve">2025-07-04</t>
  </si>
  <si>
    <t xml:space="preserve">BLOQUE 11</t>
  </si>
  <si>
    <t xml:space="preserve">2025-07-05</t>
  </si>
  <si>
    <t xml:space="preserve">Organizada de mosquero</t>
  </si>
  <si>
    <t xml:space="preserve">2025-07-06</t>
  </si>
  <si>
    <t xml:space="preserve">2025-07-07</t>
  </si>
  <si>
    <t xml:space="preserve">Instalación de zarán para tapar flor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</si>
  <si>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</si>
  <si>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</si>
  <si>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</si>
  <si>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</si>
  <si>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</si>
  <si>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2025-07-14</t>
  </si>
  <si>
    <t xml:space="preserve">2025-07-15</t>
  </si>
  <si>
    <t xml:space="preserve">CT-03011</t>
  </si>
  <si>
    <t xml:space="preserve">2025-07-21</t>
  </si>
  <si>
    <t xml:space="preserve">Material</t>
  </si>
  <si>
    <t xml:space="preserve">Cambio de naves (9 de 68x10.40 y 1 de 36.6x10.40)</t>
  </si>
  <si>
    <t xml:space="preserve">BLOQUE 12</t>
  </si>
  <si>
    <t xml:space="preserve">Cambio de líneas tela</t>
  </si>
  <si>
    <t xml:space="preserve">Cambio de líneas de antepecho</t>
  </si>
  <si>
    <t xml:space="preserve">Cambio de poste perimetral</t>
  </si>
  <si>
    <t xml:space="preserve">Fabricación de poste interno</t>
  </si>
  <si>
    <t xml:space="preserve">Cambio de poste interno</t>
  </si>
  <si>
    <t xml:space="preserve">Soldada de grafilados</t>
  </si>
  <si>
    <t xml:space="preserve">Soldada de tuercas</t>
  </si>
  <si>
    <t xml:space="preserve">Instalación de templete</t>
  </si>
  <si>
    <t xml:space="preserve">Instalación de cojines</t>
  </si>
  <si>
    <t xml:space="preserve">Cambio de antepecho por mts</t>
  </si>
  <si>
    <t xml:space="preserve">Instalación de babero por mts</t>
  </si>
  <si>
    <t xml:space="preserve">Recosida de cortina por mts</t>
  </si>
  <si>
    <t xml:space="preserve">CT-03013</t>
  </si>
  <si>
    <t xml:space="preserve">2025-07-22</t>
  </si>
  <si>
    <t xml:space="preserve">Instalación de alas bajas</t>
  </si>
  <si>
    <t xml:space="preserve">CT-03012</t>
  </si>
  <si>
    <t xml:space="preserve">Lavado de cubiertas</t>
  </si>
  <si>
    <t xml:space="preserve">Lavado de naves</t>
  </si>
  <si>
    <t xml:space="preserve">WL-0080</t>
  </si>
  <si>
    <t xml:space="preserve">2026-04-07</t>
  </si>
  <si>
    <t xml:space="preserve">W&amp;L INVERNADEROS</t>
  </si>
  <si>
    <t xml:space="preserve">OLAS</t>
  </si>
  <si>
    <t xml:space="preserve">Hueco/tapada anclaje bl27 nave8; guaya malacate bl47, cortinas; reforma cortina/bajera bl48</t>
  </si>
  <si>
    <t xml:space="preserve">27/47/48</t>
  </si>
  <si>
    <t xml:space="preserve">Cambio limatón bl45 nave2; cortinas/bajera bl22; cortina/bajera bl2, zanja</t>
  </si>
  <si>
    <t xml:space="preserve">45/22/2</t>
  </si>
  <si>
    <t xml:space="preserve">Mantenimiento tira alta nave2 bl10; cambio care vacas y 2 repisas</t>
  </si>
  <si>
    <t xml:space="preserve">10</t>
  </si>
  <si>
    <t xml:space="preserve">Reforma cortina/bajera bl48 por hortensia; reforma bl48 lateral por 49; cadena cortina bl8</t>
  </si>
  <si>
    <t xml:space="preserve">48/49/8</t>
  </si>
  <si>
    <t xml:space="preserve">Mantenimiento tira alta bl10 nave6; reforma cortinas/bajera bl48 por los pinos</t>
  </si>
  <si>
    <t xml:space="preserve">10/48</t>
  </si>
  <si>
    <t xml:space="preserve">Reforma cortinas/bajera bl48 por los baños; organización cortinas y antepechos</t>
  </si>
  <si>
    <t xml:space="preserve">48</t>
  </si>
  <si>
    <t xml:space="preserve">Reforma cortinas/bajeras bl12 por lado cable vía (70 mts)</t>
  </si>
  <si>
    <t xml:space="preserve">12</t>
  </si>
  <si>
    <t xml:space="preserve">Reforma cortinas/bajera lateral bl12 por el 11 (170 mts); cadena malacate</t>
  </si>
  <si>
    <t xml:space="preserve">Sacada bolsa plástico techo cable vía bl50; cortinas/bajera bl24; cortina/bajera bl17</t>
  </si>
  <si>
    <t xml:space="preserve">50/24/17</t>
  </si>
  <si>
    <t xml:space="preserve">Reforma cortinas laterales, bajera bl12 por el bl13 (170 mts)</t>
  </si>
  <si>
    <t xml:space="preserve">12-13</t>
  </si>
  <si>
    <t xml:space="preserve">Organizar saranes compostera; reforma cortina/bajera bl12 por la carretera (450 mts)</t>
  </si>
  <si>
    <t xml:space="preserve">Compostera/12</t>
  </si>
  <si>
    <t xml:space="preserve">Cambio 5 guayas cubre piso en bancos; recoser tela; cambio repisas y chapeto</t>
  </si>
  <si>
    <t xml:space="preserve">Bancos</t>
  </si>
  <si>
    <t xml:space="preserve">Bl48 cambio repisas y chapeto bl19; retensada cuerdas/canales; bl11 recosida telas</t>
  </si>
  <si>
    <t xml:space="preserve">48/19/11</t>
  </si>
  <si>
    <t xml:space="preserve">Bl11 recosida naves, pisadoras y guayas; bl9 repisa orillera y chapeto</t>
  </si>
  <si>
    <t xml:space="preserve">11/9</t>
  </si>
  <si>
    <t xml:space="preserve">Kiosco cambio junto bl7; bl19 retensada templetes y care vaca; bl12 pisadoras</t>
  </si>
  <si>
    <t xml:space="preserve">Kiosco/19/12</t>
  </si>
  <si>
    <t xml:space="preserve">Bl37 flautas y guayas; bl40 retensada guayas y telas; bl38 pisadoras y telas</t>
  </si>
  <si>
    <t xml:space="preserve">37/40/38</t>
  </si>
  <si>
    <t xml:space="preserve">Bl19 entizada guaya, templetes, telas; bl14 bolsa de agua, guayas, pisadoras</t>
  </si>
  <si>
    <t xml:space="preserve">19/14</t>
  </si>
  <si>
    <t xml:space="preserve">Bl13 recosida telas y pisadoras; bl9/10/11/12 pisadoras, telas, anclaje, templetes</t>
  </si>
  <si>
    <t xml:space="preserve">13/9/10/11/12</t>
  </si>
  <si>
    <t xml:space="preserve">Bl38 flautas; bl3 poste orillero, care vaca, templetes y pisadoras</t>
  </si>
  <si>
    <t xml:space="preserve">38/3</t>
  </si>
  <si>
    <t xml:space="preserve">Bl8 cinturoniada telas; bl9 cuerdas, cinturones; bl10/11 telas y cuerda</t>
  </si>
  <si>
    <t xml:space="preserve">8/9/10/11</t>
  </si>
  <si>
    <t xml:space="preserve">Bl12 recosida de 8 naves, telas, cuerdas y cinturones</t>
  </si>
  <si>
    <t xml:space="preserve">Bl12 recosida telas por canal (naves 20-24); bl10 pisadoras y repisa orillera</t>
  </si>
  <si>
    <t xml:space="preserve">12/10</t>
  </si>
  <si>
    <t xml:space="preserve">Bl14 péndulo y tela; bl3 repisa intermedia; bl14 repisa orillera y templetes; bl13 telas</t>
  </si>
  <si>
    <t xml:space="preserve">14/3/13</t>
  </si>
  <si>
    <t xml:space="preserve">Bl12 desmonte/montaje repisas altas y care vaca; pisadoras, tela alta y canal</t>
  </si>
  <si>
    <t xml:space="preserve">Taller: fabricación de mesa 0.83x0.41x0.6; modificación carrito flor de sala; cajón lámina</t>
  </si>
  <si>
    <t xml:space="preserve">Taller</t>
  </si>
  <si>
    <t xml:space="preserve">Taller: fabricación de 3 carritos para traslado de costales; 2 pines varilla 3/4 tractor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</si>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</sst>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34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5C34"/>
        <bgColor rgb="FF008000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3" t="s">
        <v>12</v>
      </c>
    </row>
    <row r="17" customFormat="false" ht="15" hidden="false" customHeight="false" outlineLevel="0" collapsed="false">
      <c r="B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4" width="13"/>
    <col collapsed="false" customWidth="true" hidden="false" outlineLevel="0" max="13" min="13" style="0" width="13"/>
    <col collapsed="false" customWidth="true" hidden="false" outlineLevel="0" max="14" min="14" style="0" width="11"/>
  </cols>
  <sheetData>
    <row r="1" customFormat="false" ht="1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</row>
    <row r="2" customFormat="false" ht="15" hidden="false" customHeight="false" outlineLevel="0" collapsed="false">
      <c r="A2" s="6" t="s">
        <v>28</v>
      </c>
      <c r="B2" s="6" t="s">
        <v>29</v>
      </c>
      <c r="C2" s="6" t="s">
        <v>30</v>
      </c>
      <c r="D2" s="6" t="s">
        <v>31</v>
      </c>
      <c r="E2" s="7"/>
      <c r="F2" s="8" t="s">
        <v>32</v>
      </c>
      <c r="G2" s="8" t="s">
        <v>33</v>
      </c>
      <c r="H2" s="6" t="s">
        <v>34</v>
      </c>
      <c r="I2" s="6" t="s">
        <v>35</v>
      </c>
      <c r="J2" s="6" t="s">
        <v>36</v>
      </c>
      <c r="K2" s="6" t="n">
        <v>2</v>
      </c>
      <c r="L2" s="9" t="n">
        <v>90950</v>
      </c>
      <c r="M2" s="9" t="n">
        <f aca="false">K2*L2</f>
        <v>181900</v>
      </c>
      <c r="N2" s="6" t="s">
        <v>37</v>
      </c>
    </row>
    <row r="3" customFormat="false" ht="15" hidden="false" customHeight="false" outlineLevel="0" collapsed="false">
      <c r="A3" s="6" t="s">
        <v>28</v>
      </c>
      <c r="B3" s="6" t="s">
        <v>29</v>
      </c>
      <c r="C3" s="6" t="s">
        <v>30</v>
      </c>
      <c r="D3" s="6" t="s">
        <v>31</v>
      </c>
      <c r="E3" s="7"/>
      <c r="F3" s="8" t="s">
        <v>32</v>
      </c>
      <c r="G3" s="8" t="s">
        <v>38</v>
      </c>
      <c r="H3" s="6" t="s">
        <v>34</v>
      </c>
      <c r="I3" s="6" t="s">
        <v>39</v>
      </c>
      <c r="J3" s="6" t="s">
        <v>36</v>
      </c>
      <c r="K3" s="6" t="n">
        <v>16</v>
      </c>
      <c r="L3" s="9" t="n">
        <v>27000</v>
      </c>
      <c r="M3" s="9" t="n">
        <f aca="false">K3*L3</f>
        <v>432000</v>
      </c>
      <c r="N3" s="6" t="s">
        <v>37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7"/>
      <c r="F4" s="8" t="s">
        <v>32</v>
      </c>
      <c r="G4" s="8" t="s">
        <v>40</v>
      </c>
      <c r="H4" s="6" t="s">
        <v>34</v>
      </c>
      <c r="I4" s="6" t="s">
        <v>41</v>
      </c>
      <c r="J4" s="6" t="s">
        <v>36</v>
      </c>
      <c r="K4" s="6" t="n">
        <v>17</v>
      </c>
      <c r="L4" s="9" t="n">
        <v>6313</v>
      </c>
      <c r="M4" s="9" t="n">
        <f aca="false">K4*L4</f>
        <v>107321</v>
      </c>
      <c r="N4" s="6" t="s">
        <v>37</v>
      </c>
    </row>
    <row r="5" customFormat="false" ht="15" hidden="false" customHeight="false" outlineLevel="0" collapsed="false">
      <c r="A5" s="6" t="s">
        <v>42</v>
      </c>
      <c r="B5" s="6" t="s">
        <v>43</v>
      </c>
      <c r="C5" s="6" t="s">
        <v>30</v>
      </c>
      <c r="D5" s="6" t="s">
        <v>31</v>
      </c>
      <c r="E5" s="7"/>
      <c r="F5" s="8" t="s">
        <v>32</v>
      </c>
      <c r="G5" s="8" t="s">
        <v>33</v>
      </c>
      <c r="H5" s="6" t="s">
        <v>34</v>
      </c>
      <c r="I5" s="6" t="s">
        <v>44</v>
      </c>
      <c r="J5" s="6" t="s">
        <v>45</v>
      </c>
      <c r="K5" s="6" t="n">
        <v>2</v>
      </c>
      <c r="L5" s="9" t="n">
        <v>472500</v>
      </c>
      <c r="M5" s="9" t="n">
        <f aca="false">K5*L5</f>
        <v>945000</v>
      </c>
      <c r="N5" s="6" t="s">
        <v>37</v>
      </c>
    </row>
    <row r="6" customFormat="false" ht="15" hidden="false" customHeight="false" outlineLevel="0" collapsed="false">
      <c r="A6" s="6" t="s">
        <v>46</v>
      </c>
      <c r="B6" s="6" t="s">
        <v>47</v>
      </c>
      <c r="C6" s="6" t="s">
        <v>30</v>
      </c>
      <c r="D6" s="6" t="s">
        <v>31</v>
      </c>
      <c r="E6" s="7"/>
      <c r="F6" s="8" t="s">
        <v>32</v>
      </c>
      <c r="G6" s="8" t="s">
        <v>40</v>
      </c>
      <c r="H6" s="6" t="s">
        <v>34</v>
      </c>
      <c r="I6" s="6" t="s">
        <v>48</v>
      </c>
      <c r="J6" s="6" t="s">
        <v>36</v>
      </c>
      <c r="K6" s="6" t="n">
        <v>1</v>
      </c>
      <c r="L6" s="9" t="n">
        <v>119818</v>
      </c>
      <c r="M6" s="9" t="n">
        <f aca="false">K6*L6</f>
        <v>119818</v>
      </c>
      <c r="N6" s="6" t="s">
        <v>37</v>
      </c>
    </row>
    <row r="7" customFormat="false" ht="15" hidden="false" customHeight="false" outlineLevel="0" collapsed="false">
      <c r="A7" s="6" t="s">
        <v>46</v>
      </c>
      <c r="B7" s="6" t="s">
        <v>47</v>
      </c>
      <c r="C7" s="6" t="s">
        <v>30</v>
      </c>
      <c r="D7" s="6" t="s">
        <v>31</v>
      </c>
      <c r="E7" s="7"/>
      <c r="F7" s="8" t="s">
        <v>32</v>
      </c>
      <c r="G7" s="8" t="s">
        <v>40</v>
      </c>
      <c r="H7" s="6" t="s">
        <v>34</v>
      </c>
      <c r="I7" s="6" t="s">
        <v>49</v>
      </c>
      <c r="J7" s="6" t="s">
        <v>36</v>
      </c>
      <c r="K7" s="6" t="n">
        <v>2</v>
      </c>
      <c r="L7" s="9" t="n">
        <v>119818</v>
      </c>
      <c r="M7" s="9" t="n">
        <f aca="false">K7*L7</f>
        <v>239636</v>
      </c>
      <c r="N7" s="6" t="s">
        <v>37</v>
      </c>
    </row>
    <row r="8" customFormat="false" ht="15" hidden="false" customHeight="false" outlineLevel="0" collapsed="false">
      <c r="A8" s="6" t="s">
        <v>46</v>
      </c>
      <c r="B8" s="6" t="s">
        <v>47</v>
      </c>
      <c r="C8" s="6" t="s">
        <v>30</v>
      </c>
      <c r="D8" s="6" t="s">
        <v>31</v>
      </c>
      <c r="E8" s="7"/>
      <c r="F8" s="8" t="s">
        <v>32</v>
      </c>
      <c r="G8" s="8" t="s">
        <v>40</v>
      </c>
      <c r="H8" s="6" t="s">
        <v>34</v>
      </c>
      <c r="I8" s="6" t="s">
        <v>50</v>
      </c>
      <c r="J8" s="6" t="s">
        <v>36</v>
      </c>
      <c r="K8" s="6" t="n">
        <v>3</v>
      </c>
      <c r="L8" s="9" t="n">
        <v>119818</v>
      </c>
      <c r="M8" s="9" t="n">
        <f aca="false">K8*L8</f>
        <v>359454</v>
      </c>
      <c r="N8" s="6" t="s">
        <v>37</v>
      </c>
    </row>
    <row r="9" customFormat="false" ht="15" hidden="false" customHeight="false" outlineLevel="0" collapsed="false">
      <c r="A9" s="6" t="s">
        <v>46</v>
      </c>
      <c r="B9" s="6" t="s">
        <v>47</v>
      </c>
      <c r="C9" s="6" t="s">
        <v>30</v>
      </c>
      <c r="D9" s="6" t="s">
        <v>31</v>
      </c>
      <c r="E9" s="7"/>
      <c r="F9" s="8" t="s">
        <v>32</v>
      </c>
      <c r="G9" s="8" t="s">
        <v>40</v>
      </c>
      <c r="H9" s="6" t="s">
        <v>34</v>
      </c>
      <c r="I9" s="6" t="s">
        <v>51</v>
      </c>
      <c r="J9" s="6" t="s">
        <v>36</v>
      </c>
      <c r="K9" s="6" t="n">
        <v>4</v>
      </c>
      <c r="L9" s="9" t="n">
        <v>119818</v>
      </c>
      <c r="M9" s="9" t="n">
        <f aca="false">K9*L9</f>
        <v>479272</v>
      </c>
      <c r="N9" s="6" t="s">
        <v>37</v>
      </c>
    </row>
    <row r="10" customFormat="false" ht="15" hidden="false" customHeight="false" outlineLevel="0" collapsed="false">
      <c r="A10" s="6" t="s">
        <v>46</v>
      </c>
      <c r="B10" s="6" t="s">
        <v>52</v>
      </c>
      <c r="C10" s="6" t="s">
        <v>30</v>
      </c>
      <c r="D10" s="6" t="s">
        <v>31</v>
      </c>
      <c r="E10" s="7"/>
      <c r="F10" s="8" t="s">
        <v>32</v>
      </c>
      <c r="G10" s="8" t="s">
        <v>40</v>
      </c>
      <c r="H10" s="6" t="s">
        <v>34</v>
      </c>
      <c r="I10" s="6" t="s">
        <v>48</v>
      </c>
      <c r="J10" s="6" t="s">
        <v>36</v>
      </c>
      <c r="K10" s="6" t="n">
        <v>1</v>
      </c>
      <c r="L10" s="9" t="n">
        <v>119818</v>
      </c>
      <c r="M10" s="9" t="n">
        <f aca="false">K10*L10</f>
        <v>119818</v>
      </c>
      <c r="N10" s="6" t="s">
        <v>37</v>
      </c>
    </row>
    <row r="11" customFormat="false" ht="15" hidden="false" customHeight="false" outlineLevel="0" collapsed="false">
      <c r="A11" s="6" t="s">
        <v>46</v>
      </c>
      <c r="B11" s="6" t="s">
        <v>52</v>
      </c>
      <c r="C11" s="6" t="s">
        <v>30</v>
      </c>
      <c r="D11" s="6" t="s">
        <v>31</v>
      </c>
      <c r="E11" s="7"/>
      <c r="F11" s="8" t="s">
        <v>32</v>
      </c>
      <c r="G11" s="8" t="s">
        <v>40</v>
      </c>
      <c r="H11" s="6" t="s">
        <v>34</v>
      </c>
      <c r="I11" s="6" t="s">
        <v>53</v>
      </c>
      <c r="J11" s="6" t="s">
        <v>36</v>
      </c>
      <c r="K11" s="6" t="n">
        <v>3</v>
      </c>
      <c r="L11" s="9" t="n">
        <v>119818</v>
      </c>
      <c r="M11" s="9" t="n">
        <f aca="false">K11*L11</f>
        <v>359454</v>
      </c>
      <c r="N11" s="6" t="s">
        <v>37</v>
      </c>
    </row>
    <row r="12" customFormat="false" ht="15" hidden="false" customHeight="false" outlineLevel="0" collapsed="false">
      <c r="A12" s="6" t="s">
        <v>46</v>
      </c>
      <c r="B12" s="6" t="s">
        <v>52</v>
      </c>
      <c r="C12" s="6" t="s">
        <v>30</v>
      </c>
      <c r="D12" s="6" t="s">
        <v>31</v>
      </c>
      <c r="E12" s="7"/>
      <c r="F12" s="8" t="s">
        <v>32</v>
      </c>
      <c r="G12" s="8" t="s">
        <v>40</v>
      </c>
      <c r="H12" s="6" t="s">
        <v>34</v>
      </c>
      <c r="I12" s="6" t="s">
        <v>51</v>
      </c>
      <c r="J12" s="6" t="s">
        <v>36</v>
      </c>
      <c r="K12" s="6" t="n">
        <v>2</v>
      </c>
      <c r="L12" s="9" t="n">
        <v>119818</v>
      </c>
      <c r="M12" s="9" t="n">
        <f aca="false">K12*L12</f>
        <v>239636</v>
      </c>
      <c r="N12" s="6" t="s">
        <v>37</v>
      </c>
    </row>
    <row r="13" customFormat="false" ht="15" hidden="false" customHeight="false" outlineLevel="0" collapsed="false">
      <c r="A13" s="6" t="s">
        <v>46</v>
      </c>
      <c r="B13" s="6" t="s">
        <v>52</v>
      </c>
      <c r="C13" s="6" t="s">
        <v>30</v>
      </c>
      <c r="D13" s="6" t="s">
        <v>31</v>
      </c>
      <c r="E13" s="7"/>
      <c r="F13" s="8" t="s">
        <v>32</v>
      </c>
      <c r="G13" s="8" t="s">
        <v>40</v>
      </c>
      <c r="H13" s="6" t="s">
        <v>34</v>
      </c>
      <c r="I13" s="6" t="s">
        <v>54</v>
      </c>
      <c r="J13" s="6" t="s">
        <v>55</v>
      </c>
      <c r="K13" s="6" t="n">
        <v>4</v>
      </c>
      <c r="L13" s="9" t="n">
        <v>119818</v>
      </c>
      <c r="M13" s="9" t="n">
        <f aca="false">K13*L13</f>
        <v>479272</v>
      </c>
      <c r="N13" s="6" t="s">
        <v>37</v>
      </c>
    </row>
    <row r="14" customFormat="false" ht="15" hidden="false" customHeight="false" outlineLevel="0" collapsed="false">
      <c r="A14" s="6" t="s">
        <v>46</v>
      </c>
      <c r="B14" s="6" t="s">
        <v>56</v>
      </c>
      <c r="C14" s="6" t="s">
        <v>30</v>
      </c>
      <c r="D14" s="6" t="s">
        <v>31</v>
      </c>
      <c r="E14" s="7"/>
      <c r="F14" s="8" t="s">
        <v>32</v>
      </c>
      <c r="G14" s="8" t="s">
        <v>40</v>
      </c>
      <c r="H14" s="6" t="s">
        <v>34</v>
      </c>
      <c r="I14" s="6" t="s">
        <v>48</v>
      </c>
      <c r="J14" s="6" t="s">
        <v>36</v>
      </c>
      <c r="K14" s="6" t="n">
        <v>1</v>
      </c>
      <c r="L14" s="9" t="n">
        <v>119818</v>
      </c>
      <c r="M14" s="9" t="n">
        <f aca="false">K14*L14</f>
        <v>119818</v>
      </c>
      <c r="N14" s="6" t="s">
        <v>37</v>
      </c>
    </row>
    <row r="15" customFormat="false" ht="15" hidden="false" customHeight="false" outlineLevel="0" collapsed="false">
      <c r="A15" s="6" t="s">
        <v>46</v>
      </c>
      <c r="B15" s="6" t="s">
        <v>56</v>
      </c>
      <c r="C15" s="6" t="s">
        <v>30</v>
      </c>
      <c r="D15" s="6" t="s">
        <v>31</v>
      </c>
      <c r="E15" s="7"/>
      <c r="F15" s="8" t="s">
        <v>32</v>
      </c>
      <c r="G15" s="8" t="s">
        <v>40</v>
      </c>
      <c r="H15" s="6" t="s">
        <v>34</v>
      </c>
      <c r="I15" s="6" t="s">
        <v>53</v>
      </c>
      <c r="J15" s="6" t="s">
        <v>36</v>
      </c>
      <c r="K15" s="6" t="n">
        <v>2</v>
      </c>
      <c r="L15" s="9" t="n">
        <v>119818</v>
      </c>
      <c r="M15" s="9" t="n">
        <f aca="false">K15*L15</f>
        <v>239636</v>
      </c>
      <c r="N15" s="6" t="s">
        <v>37</v>
      </c>
    </row>
    <row r="16" customFormat="false" ht="15" hidden="false" customHeight="false" outlineLevel="0" collapsed="false">
      <c r="A16" s="6" t="s">
        <v>46</v>
      </c>
      <c r="B16" s="6" t="s">
        <v>56</v>
      </c>
      <c r="C16" s="6" t="s">
        <v>30</v>
      </c>
      <c r="D16" s="6" t="s">
        <v>31</v>
      </c>
      <c r="E16" s="7"/>
      <c r="F16" s="8" t="s">
        <v>32</v>
      </c>
      <c r="G16" s="8" t="s">
        <v>40</v>
      </c>
      <c r="H16" s="6" t="s">
        <v>34</v>
      </c>
      <c r="I16" s="6" t="s">
        <v>51</v>
      </c>
      <c r="J16" s="6" t="s">
        <v>36</v>
      </c>
      <c r="K16" s="6" t="n">
        <v>2</v>
      </c>
      <c r="L16" s="9" t="n">
        <v>119818</v>
      </c>
      <c r="M16" s="9" t="n">
        <f aca="false">K16*L16</f>
        <v>239636</v>
      </c>
      <c r="N16" s="6" t="s">
        <v>37</v>
      </c>
    </row>
    <row r="17" customFormat="false" ht="15" hidden="false" customHeight="false" outlineLevel="0" collapsed="false">
      <c r="A17" s="6" t="s">
        <v>46</v>
      </c>
      <c r="B17" s="6" t="s">
        <v>56</v>
      </c>
      <c r="C17" s="6" t="s">
        <v>30</v>
      </c>
      <c r="D17" s="6" t="s">
        <v>31</v>
      </c>
      <c r="E17" s="7"/>
      <c r="F17" s="8" t="s">
        <v>32</v>
      </c>
      <c r="G17" s="8" t="s">
        <v>40</v>
      </c>
      <c r="H17" s="6" t="s">
        <v>34</v>
      </c>
      <c r="I17" s="6" t="s">
        <v>57</v>
      </c>
      <c r="J17" s="6" t="s">
        <v>55</v>
      </c>
      <c r="K17" s="6" t="n">
        <v>2</v>
      </c>
      <c r="L17" s="9" t="n">
        <v>119818</v>
      </c>
      <c r="M17" s="9" t="n">
        <f aca="false">K17*L17</f>
        <v>239636</v>
      </c>
      <c r="N17" s="6" t="s">
        <v>37</v>
      </c>
    </row>
    <row r="18" customFormat="false" ht="15" hidden="false" customHeight="false" outlineLevel="0" collapsed="false">
      <c r="A18" s="6" t="s">
        <v>46</v>
      </c>
      <c r="B18" s="6" t="s">
        <v>56</v>
      </c>
      <c r="C18" s="6" t="s">
        <v>30</v>
      </c>
      <c r="D18" s="6" t="s">
        <v>31</v>
      </c>
      <c r="E18" s="7"/>
      <c r="F18" s="8" t="s">
        <v>32</v>
      </c>
      <c r="G18" s="8" t="s">
        <v>40</v>
      </c>
      <c r="H18" s="6" t="s">
        <v>34</v>
      </c>
      <c r="I18" s="6" t="s">
        <v>58</v>
      </c>
      <c r="J18" s="6" t="s">
        <v>55</v>
      </c>
      <c r="K18" s="6" t="n">
        <v>3</v>
      </c>
      <c r="L18" s="9" t="n">
        <v>119818</v>
      </c>
      <c r="M18" s="9" t="n">
        <f aca="false">K18*L18</f>
        <v>359454</v>
      </c>
      <c r="N18" s="6" t="s">
        <v>37</v>
      </c>
    </row>
    <row r="19" customFormat="false" ht="15" hidden="false" customHeight="false" outlineLevel="0" collapsed="false">
      <c r="A19" s="6" t="s">
        <v>46</v>
      </c>
      <c r="B19" s="6" t="s">
        <v>59</v>
      </c>
      <c r="C19" s="6" t="s">
        <v>30</v>
      </c>
      <c r="D19" s="6" t="s">
        <v>31</v>
      </c>
      <c r="E19" s="7"/>
      <c r="F19" s="8" t="s">
        <v>32</v>
      </c>
      <c r="G19" s="8" t="s">
        <v>40</v>
      </c>
      <c r="H19" s="6" t="s">
        <v>34</v>
      </c>
      <c r="I19" s="6" t="s">
        <v>48</v>
      </c>
      <c r="J19" s="6" t="s">
        <v>36</v>
      </c>
      <c r="K19" s="6" t="n">
        <v>1</v>
      </c>
      <c r="L19" s="9" t="n">
        <v>119818</v>
      </c>
      <c r="M19" s="9" t="n">
        <f aca="false">K19*L19</f>
        <v>119818</v>
      </c>
      <c r="N19" s="6" t="s">
        <v>37</v>
      </c>
    </row>
    <row r="20" customFormat="false" ht="15" hidden="false" customHeight="false" outlineLevel="0" collapsed="false">
      <c r="A20" s="6" t="s">
        <v>46</v>
      </c>
      <c r="B20" s="6" t="s">
        <v>59</v>
      </c>
      <c r="C20" s="6" t="s">
        <v>30</v>
      </c>
      <c r="D20" s="6" t="s">
        <v>31</v>
      </c>
      <c r="E20" s="7"/>
      <c r="F20" s="8" t="s">
        <v>32</v>
      </c>
      <c r="G20" s="8" t="s">
        <v>40</v>
      </c>
      <c r="H20" s="6" t="s">
        <v>34</v>
      </c>
      <c r="I20" s="6" t="s">
        <v>53</v>
      </c>
      <c r="J20" s="6" t="s">
        <v>36</v>
      </c>
      <c r="K20" s="6" t="n">
        <v>2</v>
      </c>
      <c r="L20" s="9" t="n">
        <v>119818</v>
      </c>
      <c r="M20" s="9" t="n">
        <f aca="false">K20*L20</f>
        <v>239636</v>
      </c>
      <c r="N20" s="6" t="s">
        <v>37</v>
      </c>
    </row>
    <row r="21" customFormat="false" ht="15" hidden="false" customHeight="false" outlineLevel="0" collapsed="false">
      <c r="A21" s="6" t="s">
        <v>46</v>
      </c>
      <c r="B21" s="6" t="s">
        <v>59</v>
      </c>
      <c r="C21" s="6" t="s">
        <v>30</v>
      </c>
      <c r="D21" s="6" t="s">
        <v>31</v>
      </c>
      <c r="E21" s="7"/>
      <c r="F21" s="8" t="s">
        <v>32</v>
      </c>
      <c r="G21" s="8" t="s">
        <v>40</v>
      </c>
      <c r="H21" s="6" t="s">
        <v>34</v>
      </c>
      <c r="I21" s="6" t="s">
        <v>51</v>
      </c>
      <c r="J21" s="6" t="s">
        <v>36</v>
      </c>
      <c r="K21" s="6" t="n">
        <v>2</v>
      </c>
      <c r="L21" s="9" t="n">
        <v>119818</v>
      </c>
      <c r="M21" s="9" t="n">
        <f aca="false">K21*L21</f>
        <v>239636</v>
      </c>
      <c r="N21" s="6" t="s">
        <v>37</v>
      </c>
    </row>
    <row r="22" customFormat="false" ht="15" hidden="false" customHeight="false" outlineLevel="0" collapsed="false">
      <c r="A22" s="6" t="s">
        <v>46</v>
      </c>
      <c r="B22" s="6" t="s">
        <v>59</v>
      </c>
      <c r="C22" s="6" t="s">
        <v>30</v>
      </c>
      <c r="D22" s="6" t="s">
        <v>31</v>
      </c>
      <c r="E22" s="7"/>
      <c r="F22" s="8" t="s">
        <v>32</v>
      </c>
      <c r="G22" s="8" t="s">
        <v>40</v>
      </c>
      <c r="H22" s="6" t="s">
        <v>34</v>
      </c>
      <c r="I22" s="6" t="s">
        <v>57</v>
      </c>
      <c r="J22" s="6" t="s">
        <v>60</v>
      </c>
      <c r="K22" s="6" t="n">
        <v>2</v>
      </c>
      <c r="L22" s="9" t="n">
        <v>119818</v>
      </c>
      <c r="M22" s="9" t="n">
        <f aca="false">K22*L22</f>
        <v>239636</v>
      </c>
      <c r="N22" s="6" t="s">
        <v>37</v>
      </c>
    </row>
    <row r="23" customFormat="false" ht="15" hidden="false" customHeight="false" outlineLevel="0" collapsed="false">
      <c r="A23" s="6" t="s">
        <v>46</v>
      </c>
      <c r="B23" s="6" t="s">
        <v>59</v>
      </c>
      <c r="C23" s="6" t="s">
        <v>30</v>
      </c>
      <c r="D23" s="6" t="s">
        <v>31</v>
      </c>
      <c r="E23" s="7"/>
      <c r="F23" s="8" t="s">
        <v>32</v>
      </c>
      <c r="G23" s="8" t="s">
        <v>40</v>
      </c>
      <c r="H23" s="6" t="s">
        <v>34</v>
      </c>
      <c r="I23" s="6" t="s">
        <v>58</v>
      </c>
      <c r="J23" s="6" t="s">
        <v>55</v>
      </c>
      <c r="K23" s="6" t="n">
        <v>3</v>
      </c>
      <c r="L23" s="9" t="n">
        <v>119818</v>
      </c>
      <c r="M23" s="9" t="n">
        <f aca="false">K23*L23</f>
        <v>359454</v>
      </c>
      <c r="N23" s="6" t="s">
        <v>37</v>
      </c>
    </row>
    <row r="24" customFormat="false" ht="15" hidden="false" customHeight="false" outlineLevel="0" collapsed="false">
      <c r="A24" s="6" t="s">
        <v>46</v>
      </c>
      <c r="B24" s="6" t="s">
        <v>61</v>
      </c>
      <c r="C24" s="6" t="s">
        <v>30</v>
      </c>
      <c r="D24" s="6" t="s">
        <v>31</v>
      </c>
      <c r="E24" s="7"/>
      <c r="F24" s="8" t="s">
        <v>32</v>
      </c>
      <c r="G24" s="8" t="s">
        <v>40</v>
      </c>
      <c r="H24" s="6" t="s">
        <v>34</v>
      </c>
      <c r="I24" s="6" t="s">
        <v>48</v>
      </c>
      <c r="J24" s="6" t="s">
        <v>36</v>
      </c>
      <c r="K24" s="6" t="n">
        <v>1</v>
      </c>
      <c r="L24" s="9" t="n">
        <v>119818</v>
      </c>
      <c r="M24" s="9" t="n">
        <f aca="false">K24*L24</f>
        <v>119818</v>
      </c>
      <c r="N24" s="6" t="s">
        <v>37</v>
      </c>
    </row>
    <row r="25" customFormat="false" ht="15" hidden="false" customHeight="false" outlineLevel="0" collapsed="false">
      <c r="A25" s="6" t="s">
        <v>46</v>
      </c>
      <c r="B25" s="6" t="s">
        <v>61</v>
      </c>
      <c r="C25" s="6" t="s">
        <v>30</v>
      </c>
      <c r="D25" s="6" t="s">
        <v>31</v>
      </c>
      <c r="E25" s="7"/>
      <c r="F25" s="8" t="s">
        <v>32</v>
      </c>
      <c r="G25" s="8" t="s">
        <v>40</v>
      </c>
      <c r="H25" s="6" t="s">
        <v>34</v>
      </c>
      <c r="I25" s="6" t="s">
        <v>62</v>
      </c>
      <c r="J25" s="6" t="s">
        <v>36</v>
      </c>
      <c r="K25" s="6" t="n">
        <v>3</v>
      </c>
      <c r="L25" s="9" t="n">
        <v>119818</v>
      </c>
      <c r="M25" s="9" t="n">
        <f aca="false">K25*L25</f>
        <v>359454</v>
      </c>
      <c r="N25" s="6" t="s">
        <v>37</v>
      </c>
    </row>
    <row r="26" customFormat="false" ht="15" hidden="false" customHeight="false" outlineLevel="0" collapsed="false">
      <c r="A26" s="6" t="s">
        <v>46</v>
      </c>
      <c r="B26" s="6" t="s">
        <v>61</v>
      </c>
      <c r="C26" s="6" t="s">
        <v>30</v>
      </c>
      <c r="D26" s="6" t="s">
        <v>31</v>
      </c>
      <c r="E26" s="7"/>
      <c r="F26" s="8" t="s">
        <v>32</v>
      </c>
      <c r="G26" s="8" t="s">
        <v>40</v>
      </c>
      <c r="H26" s="6" t="s">
        <v>34</v>
      </c>
      <c r="I26" s="6" t="s">
        <v>51</v>
      </c>
      <c r="J26" s="6" t="s">
        <v>36</v>
      </c>
      <c r="K26" s="6" t="n">
        <v>3</v>
      </c>
      <c r="L26" s="9" t="n">
        <v>119818</v>
      </c>
      <c r="M26" s="9" t="n">
        <f aca="false">K26*L26</f>
        <v>359454</v>
      </c>
      <c r="N26" s="6" t="s">
        <v>37</v>
      </c>
    </row>
    <row r="27" customFormat="false" ht="15" hidden="false" customHeight="false" outlineLevel="0" collapsed="false">
      <c r="A27" s="6" t="s">
        <v>46</v>
      </c>
      <c r="B27" s="6" t="s">
        <v>63</v>
      </c>
      <c r="C27" s="6" t="s">
        <v>30</v>
      </c>
      <c r="D27" s="6" t="s">
        <v>31</v>
      </c>
      <c r="E27" s="7"/>
      <c r="F27" s="8" t="s">
        <v>32</v>
      </c>
      <c r="G27" s="8" t="s">
        <v>40</v>
      </c>
      <c r="H27" s="6" t="s">
        <v>34</v>
      </c>
      <c r="I27" s="6" t="s">
        <v>51</v>
      </c>
      <c r="J27" s="6" t="s">
        <v>36</v>
      </c>
      <c r="K27" s="6" t="n">
        <v>2</v>
      </c>
      <c r="L27" s="9" t="n">
        <v>119818</v>
      </c>
      <c r="M27" s="9" t="n">
        <f aca="false">K27*L27</f>
        <v>239636</v>
      </c>
      <c r="N27" s="6" t="s">
        <v>37</v>
      </c>
    </row>
    <row r="28" customFormat="false" ht="15" hidden="false" customHeight="false" outlineLevel="0" collapsed="false">
      <c r="A28" s="6" t="s">
        <v>46</v>
      </c>
      <c r="B28" s="6" t="s">
        <v>63</v>
      </c>
      <c r="C28" s="6" t="s">
        <v>30</v>
      </c>
      <c r="D28" s="6" t="s">
        <v>31</v>
      </c>
      <c r="E28" s="7"/>
      <c r="F28" s="8" t="s">
        <v>32</v>
      </c>
      <c r="G28" s="8" t="s">
        <v>40</v>
      </c>
      <c r="H28" s="6" t="s">
        <v>34</v>
      </c>
      <c r="I28" s="6" t="s">
        <v>54</v>
      </c>
      <c r="J28" s="6" t="s">
        <v>55</v>
      </c>
      <c r="K28" s="6" t="n">
        <v>2</v>
      </c>
      <c r="L28" s="9" t="n">
        <v>119818</v>
      </c>
      <c r="M28" s="9" t="n">
        <f aca="false">K28*L28</f>
        <v>239636</v>
      </c>
      <c r="N28" s="6" t="s">
        <v>37</v>
      </c>
    </row>
    <row r="29" customFormat="false" ht="15" hidden="false" customHeight="false" outlineLevel="0" collapsed="false">
      <c r="A29" s="6" t="s">
        <v>46</v>
      </c>
      <c r="B29" s="6" t="s">
        <v>64</v>
      </c>
      <c r="C29" s="6" t="s">
        <v>30</v>
      </c>
      <c r="D29" s="6" t="s">
        <v>31</v>
      </c>
      <c r="E29" s="7"/>
      <c r="F29" s="8" t="s">
        <v>32</v>
      </c>
      <c r="G29" s="8" t="s">
        <v>40</v>
      </c>
      <c r="H29" s="6" t="s">
        <v>34</v>
      </c>
      <c r="I29" s="6" t="s">
        <v>65</v>
      </c>
      <c r="J29" s="6" t="s">
        <v>36</v>
      </c>
      <c r="K29" s="6" t="n">
        <v>1</v>
      </c>
      <c r="L29" s="9" t="n">
        <v>119818</v>
      </c>
      <c r="M29" s="9" t="n">
        <f aca="false">K29*L29</f>
        <v>119818</v>
      </c>
      <c r="N29" s="6" t="s">
        <v>37</v>
      </c>
    </row>
    <row r="30" customFormat="false" ht="15" hidden="false" customHeight="false" outlineLevel="0" collapsed="false">
      <c r="A30" s="6" t="s">
        <v>46</v>
      </c>
      <c r="B30" s="6" t="s">
        <v>64</v>
      </c>
      <c r="C30" s="6" t="s">
        <v>30</v>
      </c>
      <c r="D30" s="6" t="s">
        <v>31</v>
      </c>
      <c r="E30" s="7"/>
      <c r="F30" s="8" t="s">
        <v>32</v>
      </c>
      <c r="G30" s="8" t="s">
        <v>40</v>
      </c>
      <c r="H30" s="6" t="s">
        <v>34</v>
      </c>
      <c r="I30" s="6" t="s">
        <v>51</v>
      </c>
      <c r="J30" s="6" t="s">
        <v>36</v>
      </c>
      <c r="K30" s="6" t="n">
        <v>3</v>
      </c>
      <c r="L30" s="9" t="n">
        <v>119818</v>
      </c>
      <c r="M30" s="9" t="n">
        <f aca="false">K30*L30</f>
        <v>359454</v>
      </c>
      <c r="N30" s="6" t="s">
        <v>37</v>
      </c>
    </row>
    <row r="31" customFormat="false" ht="15" hidden="false" customHeight="false" outlineLevel="0" collapsed="false">
      <c r="A31" s="6" t="s">
        <v>46</v>
      </c>
      <c r="B31" s="6" t="s">
        <v>64</v>
      </c>
      <c r="C31" s="6" t="s">
        <v>30</v>
      </c>
      <c r="D31" s="6" t="s">
        <v>31</v>
      </c>
      <c r="E31" s="7"/>
      <c r="F31" s="8" t="s">
        <v>32</v>
      </c>
      <c r="G31" s="8" t="s">
        <v>40</v>
      </c>
      <c r="H31" s="6" t="s">
        <v>34</v>
      </c>
      <c r="I31" s="6" t="s">
        <v>54</v>
      </c>
      <c r="J31" s="6" t="s">
        <v>55</v>
      </c>
      <c r="K31" s="6" t="n">
        <v>3</v>
      </c>
      <c r="L31" s="9" t="n">
        <v>119818</v>
      </c>
      <c r="M31" s="9" t="n">
        <f aca="false">K31*L31</f>
        <v>359454</v>
      </c>
      <c r="N31" s="6" t="s">
        <v>37</v>
      </c>
    </row>
    <row r="32" customFormat="false" ht="15" hidden="false" customHeight="false" outlineLevel="0" collapsed="false">
      <c r="A32" s="6" t="s">
        <v>46</v>
      </c>
      <c r="B32" s="6" t="s">
        <v>66</v>
      </c>
      <c r="C32" s="6" t="s">
        <v>30</v>
      </c>
      <c r="D32" s="6" t="s">
        <v>31</v>
      </c>
      <c r="E32" s="7"/>
      <c r="F32" s="8" t="s">
        <v>32</v>
      </c>
      <c r="G32" s="8" t="s">
        <v>40</v>
      </c>
      <c r="H32" s="6" t="s">
        <v>34</v>
      </c>
      <c r="I32" s="6" t="s">
        <v>65</v>
      </c>
      <c r="J32" s="6" t="s">
        <v>36</v>
      </c>
      <c r="K32" s="6" t="n">
        <v>1</v>
      </c>
      <c r="L32" s="9" t="n">
        <v>119818</v>
      </c>
      <c r="M32" s="9" t="n">
        <f aca="false">K32*L32</f>
        <v>119818</v>
      </c>
      <c r="N32" s="6" t="s">
        <v>37</v>
      </c>
    </row>
    <row r="33" customFormat="false" ht="15" hidden="false" customHeight="false" outlineLevel="0" collapsed="false">
      <c r="A33" s="6" t="s">
        <v>46</v>
      </c>
      <c r="B33" s="6" t="s">
        <v>66</v>
      </c>
      <c r="C33" s="6" t="s">
        <v>30</v>
      </c>
      <c r="D33" s="6" t="s">
        <v>31</v>
      </c>
      <c r="E33" s="7"/>
      <c r="F33" s="8" t="s">
        <v>32</v>
      </c>
      <c r="G33" s="8" t="s">
        <v>40</v>
      </c>
      <c r="H33" s="6" t="s">
        <v>34</v>
      </c>
      <c r="I33" s="6" t="s">
        <v>51</v>
      </c>
      <c r="J33" s="6" t="s">
        <v>36</v>
      </c>
      <c r="K33" s="6" t="n">
        <v>3</v>
      </c>
      <c r="L33" s="9" t="n">
        <v>119818</v>
      </c>
      <c r="M33" s="9" t="n">
        <f aca="false">K33*L33</f>
        <v>359454</v>
      </c>
      <c r="N33" s="6" t="s">
        <v>37</v>
      </c>
    </row>
    <row r="34" customFormat="false" ht="15" hidden="false" customHeight="false" outlineLevel="0" collapsed="false">
      <c r="A34" s="6" t="s">
        <v>46</v>
      </c>
      <c r="B34" s="6" t="s">
        <v>66</v>
      </c>
      <c r="C34" s="6" t="s">
        <v>30</v>
      </c>
      <c r="D34" s="6" t="s">
        <v>31</v>
      </c>
      <c r="E34" s="7"/>
      <c r="F34" s="8" t="s">
        <v>32</v>
      </c>
      <c r="G34" s="8" t="s">
        <v>40</v>
      </c>
      <c r="H34" s="6" t="s">
        <v>34</v>
      </c>
      <c r="I34" s="6" t="s">
        <v>58</v>
      </c>
      <c r="J34" s="6" t="s">
        <v>55</v>
      </c>
      <c r="K34" s="6" t="n">
        <v>3</v>
      </c>
      <c r="L34" s="9" t="n">
        <v>119818</v>
      </c>
      <c r="M34" s="9" t="n">
        <f aca="false">K34*L34</f>
        <v>359454</v>
      </c>
      <c r="N34" s="6" t="s">
        <v>37</v>
      </c>
    </row>
    <row r="35" customFormat="false" ht="15" hidden="false" customHeight="false" outlineLevel="0" collapsed="false">
      <c r="A35" s="6" t="s">
        <v>46</v>
      </c>
      <c r="B35" s="6" t="s">
        <v>66</v>
      </c>
      <c r="C35" s="6" t="s">
        <v>30</v>
      </c>
      <c r="D35" s="6" t="s">
        <v>31</v>
      </c>
      <c r="E35" s="7"/>
      <c r="F35" s="8" t="s">
        <v>32</v>
      </c>
      <c r="G35" s="8" t="s">
        <v>40</v>
      </c>
      <c r="H35" s="6" t="s">
        <v>34</v>
      </c>
      <c r="I35" s="6" t="s">
        <v>53</v>
      </c>
      <c r="J35" s="6" t="s">
        <v>36</v>
      </c>
      <c r="K35" s="6" t="n">
        <v>3</v>
      </c>
      <c r="L35" s="9" t="n">
        <v>119818</v>
      </c>
      <c r="M35" s="9" t="n">
        <f aca="false">K35*L35</f>
        <v>359454</v>
      </c>
      <c r="N35" s="6" t="s">
        <v>37</v>
      </c>
    </row>
    <row r="36" customFormat="false" ht="15" hidden="false" customHeight="false" outlineLevel="0" collapsed="false">
      <c r="A36" s="6" t="s">
        <v>46</v>
      </c>
      <c r="B36" s="6" t="s">
        <v>67</v>
      </c>
      <c r="C36" s="6" t="s">
        <v>30</v>
      </c>
      <c r="D36" s="6" t="s">
        <v>31</v>
      </c>
      <c r="E36" s="7"/>
      <c r="F36" s="8" t="s">
        <v>32</v>
      </c>
      <c r="G36" s="8" t="s">
        <v>40</v>
      </c>
      <c r="H36" s="6" t="s">
        <v>34</v>
      </c>
      <c r="I36" s="6" t="s">
        <v>65</v>
      </c>
      <c r="J36" s="6" t="s">
        <v>36</v>
      </c>
      <c r="K36" s="6" t="n">
        <v>1</v>
      </c>
      <c r="L36" s="9" t="n">
        <v>119818</v>
      </c>
      <c r="M36" s="9" t="n">
        <f aca="false">K36*L36</f>
        <v>119818</v>
      </c>
      <c r="N36" s="6" t="s">
        <v>37</v>
      </c>
    </row>
    <row r="37" customFormat="false" ht="15" hidden="false" customHeight="false" outlineLevel="0" collapsed="false">
      <c r="A37" s="6" t="s">
        <v>46</v>
      </c>
      <c r="B37" s="6" t="s">
        <v>67</v>
      </c>
      <c r="C37" s="6" t="s">
        <v>30</v>
      </c>
      <c r="D37" s="6" t="s">
        <v>31</v>
      </c>
      <c r="E37" s="7"/>
      <c r="F37" s="8" t="s">
        <v>32</v>
      </c>
      <c r="G37" s="8" t="s">
        <v>40</v>
      </c>
      <c r="H37" s="6" t="s">
        <v>34</v>
      </c>
      <c r="I37" s="6" t="s">
        <v>51</v>
      </c>
      <c r="J37" s="6" t="s">
        <v>36</v>
      </c>
      <c r="K37" s="6" t="n">
        <v>3</v>
      </c>
      <c r="L37" s="9" t="n">
        <v>119818</v>
      </c>
      <c r="M37" s="9" t="n">
        <f aca="false">K37*L37</f>
        <v>359454</v>
      </c>
      <c r="N37" s="6" t="s">
        <v>37</v>
      </c>
    </row>
    <row r="38" customFormat="false" ht="15" hidden="false" customHeight="false" outlineLevel="0" collapsed="false">
      <c r="A38" s="6" t="s">
        <v>46</v>
      </c>
      <c r="B38" s="6" t="s">
        <v>67</v>
      </c>
      <c r="C38" s="6" t="s">
        <v>30</v>
      </c>
      <c r="D38" s="6" t="s">
        <v>31</v>
      </c>
      <c r="E38" s="7"/>
      <c r="F38" s="8" t="s">
        <v>32</v>
      </c>
      <c r="G38" s="8" t="s">
        <v>40</v>
      </c>
      <c r="H38" s="6" t="s">
        <v>34</v>
      </c>
      <c r="I38" s="6" t="s">
        <v>58</v>
      </c>
      <c r="J38" s="6" t="s">
        <v>55</v>
      </c>
      <c r="K38" s="6" t="n">
        <v>3</v>
      </c>
      <c r="L38" s="9" t="n">
        <v>119818</v>
      </c>
      <c r="M38" s="9" t="n">
        <f aca="false">K38*L38</f>
        <v>359454</v>
      </c>
      <c r="N38" s="6" t="s">
        <v>37</v>
      </c>
    </row>
    <row r="39" customFormat="false" ht="15" hidden="false" customHeight="false" outlineLevel="0" collapsed="false">
      <c r="A39" s="6" t="s">
        <v>46</v>
      </c>
      <c r="B39" s="6" t="s">
        <v>68</v>
      </c>
      <c r="C39" s="6" t="s">
        <v>30</v>
      </c>
      <c r="D39" s="6" t="s">
        <v>31</v>
      </c>
      <c r="E39" s="7"/>
      <c r="F39" s="8" t="s">
        <v>32</v>
      </c>
      <c r="G39" s="8" t="s">
        <v>40</v>
      </c>
      <c r="H39" s="6" t="s">
        <v>34</v>
      </c>
      <c r="I39" s="6" t="s">
        <v>65</v>
      </c>
      <c r="J39" s="6" t="s">
        <v>36</v>
      </c>
      <c r="K39" s="6" t="n">
        <v>1</v>
      </c>
      <c r="L39" s="9" t="n">
        <v>119818</v>
      </c>
      <c r="M39" s="9" t="n">
        <f aca="false">K39*L39</f>
        <v>119818</v>
      </c>
      <c r="N39" s="6" t="s">
        <v>37</v>
      </c>
    </row>
    <row r="40" customFormat="false" ht="15" hidden="false" customHeight="false" outlineLevel="0" collapsed="false">
      <c r="A40" s="6" t="s">
        <v>46</v>
      </c>
      <c r="B40" s="6" t="s">
        <v>68</v>
      </c>
      <c r="C40" s="6" t="s">
        <v>30</v>
      </c>
      <c r="D40" s="6" t="s">
        <v>31</v>
      </c>
      <c r="E40" s="7"/>
      <c r="F40" s="8" t="s">
        <v>32</v>
      </c>
      <c r="G40" s="8" t="s">
        <v>40</v>
      </c>
      <c r="H40" s="6" t="s">
        <v>34</v>
      </c>
      <c r="I40" s="6" t="s">
        <v>51</v>
      </c>
      <c r="J40" s="6" t="s">
        <v>36</v>
      </c>
      <c r="K40" s="6" t="n">
        <v>2</v>
      </c>
      <c r="L40" s="9" t="n">
        <v>119818</v>
      </c>
      <c r="M40" s="9" t="n">
        <f aca="false">K40*L40</f>
        <v>239636</v>
      </c>
      <c r="N40" s="6" t="s">
        <v>37</v>
      </c>
    </row>
    <row r="41" customFormat="false" ht="15" hidden="false" customHeight="false" outlineLevel="0" collapsed="false">
      <c r="A41" s="6" t="s">
        <v>46</v>
      </c>
      <c r="B41" s="6" t="s">
        <v>68</v>
      </c>
      <c r="C41" s="6" t="s">
        <v>30</v>
      </c>
      <c r="D41" s="6" t="s">
        <v>31</v>
      </c>
      <c r="E41" s="7"/>
      <c r="F41" s="8" t="s">
        <v>32</v>
      </c>
      <c r="G41" s="8" t="s">
        <v>40</v>
      </c>
      <c r="H41" s="6" t="s">
        <v>34</v>
      </c>
      <c r="I41" s="6" t="s">
        <v>58</v>
      </c>
      <c r="J41" s="6" t="s">
        <v>55</v>
      </c>
      <c r="K41" s="6" t="n">
        <v>3</v>
      </c>
      <c r="L41" s="9" t="n">
        <v>119818</v>
      </c>
      <c r="M41" s="9" t="n">
        <f aca="false">K41*L41</f>
        <v>359454</v>
      </c>
      <c r="N41" s="6" t="s">
        <v>37</v>
      </c>
    </row>
    <row r="42" customFormat="false" ht="15" hidden="false" customHeight="false" outlineLevel="0" collapsed="false">
      <c r="A42" s="6" t="s">
        <v>46</v>
      </c>
      <c r="B42" s="6" t="s">
        <v>69</v>
      </c>
      <c r="C42" s="6" t="s">
        <v>30</v>
      </c>
      <c r="D42" s="6" t="s">
        <v>31</v>
      </c>
      <c r="E42" s="7"/>
      <c r="F42" s="8" t="s">
        <v>32</v>
      </c>
      <c r="G42" s="8" t="s">
        <v>40</v>
      </c>
      <c r="H42" s="6" t="s">
        <v>34</v>
      </c>
      <c r="I42" s="6" t="s">
        <v>65</v>
      </c>
      <c r="J42" s="6" t="s">
        <v>36</v>
      </c>
      <c r="K42" s="6" t="n">
        <v>1</v>
      </c>
      <c r="L42" s="9" t="n">
        <v>119818</v>
      </c>
      <c r="M42" s="9" t="n">
        <f aca="false">K42*L42</f>
        <v>119818</v>
      </c>
      <c r="N42" s="6" t="s">
        <v>37</v>
      </c>
    </row>
    <row r="43" customFormat="false" ht="15" hidden="false" customHeight="false" outlineLevel="0" collapsed="false">
      <c r="A43" s="6" t="s">
        <v>46</v>
      </c>
      <c r="B43" s="6" t="s">
        <v>69</v>
      </c>
      <c r="C43" s="6" t="s">
        <v>30</v>
      </c>
      <c r="D43" s="6" t="s">
        <v>31</v>
      </c>
      <c r="E43" s="7"/>
      <c r="F43" s="8" t="s">
        <v>32</v>
      </c>
      <c r="G43" s="8" t="s">
        <v>40</v>
      </c>
      <c r="H43" s="6" t="s">
        <v>34</v>
      </c>
      <c r="I43" s="6" t="s">
        <v>51</v>
      </c>
      <c r="J43" s="6" t="s">
        <v>36</v>
      </c>
      <c r="K43" s="6" t="n">
        <v>3</v>
      </c>
      <c r="L43" s="9" t="n">
        <v>119818</v>
      </c>
      <c r="M43" s="9" t="n">
        <f aca="false">K43*L43</f>
        <v>359454</v>
      </c>
      <c r="N43" s="6" t="s">
        <v>37</v>
      </c>
    </row>
    <row r="44" customFormat="false" ht="15" hidden="false" customHeight="false" outlineLevel="0" collapsed="false">
      <c r="A44" s="6" t="s">
        <v>46</v>
      </c>
      <c r="B44" s="6" t="s">
        <v>69</v>
      </c>
      <c r="C44" s="6" t="s">
        <v>30</v>
      </c>
      <c r="D44" s="6" t="s">
        <v>31</v>
      </c>
      <c r="E44" s="7"/>
      <c r="F44" s="8" t="s">
        <v>32</v>
      </c>
      <c r="G44" s="8" t="s">
        <v>40</v>
      </c>
      <c r="H44" s="6" t="s">
        <v>34</v>
      </c>
      <c r="I44" s="6" t="s">
        <v>58</v>
      </c>
      <c r="J44" s="6" t="s">
        <v>55</v>
      </c>
      <c r="K44" s="6" t="n">
        <v>3</v>
      </c>
      <c r="L44" s="9" t="n">
        <v>119818</v>
      </c>
      <c r="M44" s="9" t="n">
        <f aca="false">K44*L44</f>
        <v>359454</v>
      </c>
      <c r="N44" s="6" t="s">
        <v>37</v>
      </c>
    </row>
    <row r="45" customFormat="false" ht="15" hidden="false" customHeight="false" outlineLevel="0" collapsed="false">
      <c r="A45" s="6" t="s">
        <v>46</v>
      </c>
      <c r="B45" s="6" t="s">
        <v>70</v>
      </c>
      <c r="C45" s="6" t="s">
        <v>30</v>
      </c>
      <c r="D45" s="6" t="s">
        <v>31</v>
      </c>
      <c r="E45" s="7"/>
      <c r="F45" s="8" t="s">
        <v>32</v>
      </c>
      <c r="G45" s="8" t="s">
        <v>40</v>
      </c>
      <c r="H45" s="6" t="s">
        <v>34</v>
      </c>
      <c r="I45" s="6" t="s">
        <v>65</v>
      </c>
      <c r="J45" s="6" t="s">
        <v>36</v>
      </c>
      <c r="K45" s="6" t="n">
        <v>1</v>
      </c>
      <c r="L45" s="9" t="n">
        <v>119818</v>
      </c>
      <c r="M45" s="9" t="n">
        <f aca="false">K45*L45</f>
        <v>119818</v>
      </c>
      <c r="N45" s="6" t="s">
        <v>37</v>
      </c>
    </row>
    <row r="46" customFormat="false" ht="15" hidden="false" customHeight="false" outlineLevel="0" collapsed="false">
      <c r="A46" s="6" t="s">
        <v>46</v>
      </c>
      <c r="B46" s="6" t="s">
        <v>70</v>
      </c>
      <c r="C46" s="6" t="s">
        <v>30</v>
      </c>
      <c r="D46" s="6" t="s">
        <v>31</v>
      </c>
      <c r="E46" s="7"/>
      <c r="F46" s="8" t="s">
        <v>32</v>
      </c>
      <c r="G46" s="8" t="s">
        <v>40</v>
      </c>
      <c r="H46" s="6" t="s">
        <v>34</v>
      </c>
      <c r="I46" s="6" t="s">
        <v>51</v>
      </c>
      <c r="J46" s="6" t="s">
        <v>36</v>
      </c>
      <c r="K46" s="6" t="n">
        <v>3</v>
      </c>
      <c r="L46" s="9" t="n">
        <v>119818</v>
      </c>
      <c r="M46" s="9" t="n">
        <f aca="false">K46*L46</f>
        <v>359454</v>
      </c>
      <c r="N46" s="6" t="s">
        <v>37</v>
      </c>
    </row>
    <row r="47" customFormat="false" ht="15" hidden="false" customHeight="false" outlineLevel="0" collapsed="false">
      <c r="A47" s="6" t="s">
        <v>46</v>
      </c>
      <c r="B47" s="6" t="s">
        <v>70</v>
      </c>
      <c r="C47" s="6" t="s">
        <v>30</v>
      </c>
      <c r="D47" s="6" t="s">
        <v>31</v>
      </c>
      <c r="E47" s="7"/>
      <c r="F47" s="8" t="s">
        <v>32</v>
      </c>
      <c r="G47" s="8" t="s">
        <v>40</v>
      </c>
      <c r="H47" s="6" t="s">
        <v>34</v>
      </c>
      <c r="I47" s="6" t="s">
        <v>58</v>
      </c>
      <c r="J47" s="6" t="s">
        <v>55</v>
      </c>
      <c r="K47" s="6" t="n">
        <v>2</v>
      </c>
      <c r="L47" s="9" t="n">
        <v>119818</v>
      </c>
      <c r="M47" s="9" t="n">
        <f aca="false">K47*L47</f>
        <v>239636</v>
      </c>
      <c r="N47" s="6" t="s">
        <v>37</v>
      </c>
    </row>
    <row r="48" customFormat="false" ht="15" hidden="false" customHeight="false" outlineLevel="0" collapsed="false">
      <c r="A48" s="6" t="s">
        <v>46</v>
      </c>
      <c r="B48" s="6" t="s">
        <v>29</v>
      </c>
      <c r="C48" s="6" t="s">
        <v>30</v>
      </c>
      <c r="D48" s="6" t="s">
        <v>31</v>
      </c>
      <c r="E48" s="7"/>
      <c r="F48" s="8" t="s">
        <v>32</v>
      </c>
      <c r="G48" s="8" t="s">
        <v>40</v>
      </c>
      <c r="H48" s="6" t="s">
        <v>34</v>
      </c>
      <c r="I48" s="6" t="s">
        <v>51</v>
      </c>
      <c r="J48" s="6" t="s">
        <v>36</v>
      </c>
      <c r="K48" s="6" t="n">
        <v>2</v>
      </c>
      <c r="L48" s="9" t="n">
        <v>119818</v>
      </c>
      <c r="M48" s="9" t="n">
        <f aca="false">K48*L48</f>
        <v>239636</v>
      </c>
      <c r="N48" s="6" t="s">
        <v>37</v>
      </c>
    </row>
    <row r="49" customFormat="false" ht="15" hidden="false" customHeight="false" outlineLevel="0" collapsed="false">
      <c r="A49" s="6" t="s">
        <v>46</v>
      </c>
      <c r="B49" s="6" t="s">
        <v>29</v>
      </c>
      <c r="C49" s="6" t="s">
        <v>30</v>
      </c>
      <c r="D49" s="6" t="s">
        <v>31</v>
      </c>
      <c r="E49" s="7"/>
      <c r="F49" s="8" t="s">
        <v>32</v>
      </c>
      <c r="G49" s="8" t="s">
        <v>40</v>
      </c>
      <c r="H49" s="6" t="s">
        <v>34</v>
      </c>
      <c r="I49" s="6" t="s">
        <v>54</v>
      </c>
      <c r="J49" s="6" t="s">
        <v>55</v>
      </c>
      <c r="K49" s="6" t="n">
        <v>2</v>
      </c>
      <c r="L49" s="9" t="n">
        <v>119818</v>
      </c>
      <c r="M49" s="9" t="n">
        <f aca="false">K49*L49</f>
        <v>239636</v>
      </c>
      <c r="N49" s="6" t="s">
        <v>37</v>
      </c>
    </row>
    <row r="50" customFormat="false" ht="15" hidden="false" customHeight="false" outlineLevel="0" collapsed="false">
      <c r="A50" s="6" t="s">
        <v>46</v>
      </c>
      <c r="B50" s="6" t="s">
        <v>71</v>
      </c>
      <c r="C50" s="6" t="s">
        <v>30</v>
      </c>
      <c r="D50" s="6" t="s">
        <v>31</v>
      </c>
      <c r="E50" s="7"/>
      <c r="F50" s="8" t="s">
        <v>32</v>
      </c>
      <c r="G50" s="8" t="s">
        <v>40</v>
      </c>
      <c r="H50" s="6" t="s">
        <v>34</v>
      </c>
      <c r="I50" s="6" t="s">
        <v>65</v>
      </c>
      <c r="J50" s="6" t="s">
        <v>36</v>
      </c>
      <c r="K50" s="6" t="n">
        <v>1</v>
      </c>
      <c r="L50" s="9" t="n">
        <v>119818</v>
      </c>
      <c r="M50" s="9" t="n">
        <f aca="false">K50*L50</f>
        <v>119818</v>
      </c>
      <c r="N50" s="6" t="s">
        <v>37</v>
      </c>
    </row>
    <row r="51" customFormat="false" ht="15" hidden="false" customHeight="false" outlineLevel="0" collapsed="false">
      <c r="A51" s="6" t="s">
        <v>46</v>
      </c>
      <c r="B51" s="6" t="s">
        <v>71</v>
      </c>
      <c r="C51" s="6" t="s">
        <v>30</v>
      </c>
      <c r="D51" s="6" t="s">
        <v>31</v>
      </c>
      <c r="E51" s="7"/>
      <c r="F51" s="8" t="s">
        <v>32</v>
      </c>
      <c r="G51" s="8" t="s">
        <v>40</v>
      </c>
      <c r="H51" s="6" t="s">
        <v>34</v>
      </c>
      <c r="I51" s="6" t="s">
        <v>51</v>
      </c>
      <c r="J51" s="6" t="s">
        <v>36</v>
      </c>
      <c r="K51" s="6" t="n">
        <v>2</v>
      </c>
      <c r="L51" s="9" t="n">
        <v>119818</v>
      </c>
      <c r="M51" s="9" t="n">
        <f aca="false">K51*L51</f>
        <v>239636</v>
      </c>
      <c r="N51" s="6" t="s">
        <v>37</v>
      </c>
    </row>
    <row r="52" customFormat="false" ht="15" hidden="false" customHeight="false" outlineLevel="0" collapsed="false">
      <c r="A52" s="6" t="s">
        <v>46</v>
      </c>
      <c r="B52" s="6" t="s">
        <v>71</v>
      </c>
      <c r="C52" s="6" t="s">
        <v>30</v>
      </c>
      <c r="D52" s="6" t="s">
        <v>31</v>
      </c>
      <c r="E52" s="7"/>
      <c r="F52" s="8" t="s">
        <v>32</v>
      </c>
      <c r="G52" s="8" t="s">
        <v>40</v>
      </c>
      <c r="H52" s="6" t="s">
        <v>34</v>
      </c>
      <c r="I52" s="6" t="s">
        <v>58</v>
      </c>
      <c r="J52" s="6" t="s">
        <v>55</v>
      </c>
      <c r="K52" s="6" t="n">
        <v>2</v>
      </c>
      <c r="L52" s="9" t="n">
        <v>119818</v>
      </c>
      <c r="M52" s="9" t="n">
        <f aca="false">K52*L52</f>
        <v>239636</v>
      </c>
      <c r="N52" s="6" t="s">
        <v>37</v>
      </c>
    </row>
    <row r="53" customFormat="false" ht="15" hidden="false" customHeight="false" outlineLevel="0" collapsed="false">
      <c r="A53" s="6" t="s">
        <v>46</v>
      </c>
      <c r="B53" s="6" t="s">
        <v>72</v>
      </c>
      <c r="C53" s="6" t="s">
        <v>30</v>
      </c>
      <c r="D53" s="6" t="s">
        <v>31</v>
      </c>
      <c r="E53" s="7"/>
      <c r="F53" s="8" t="s">
        <v>32</v>
      </c>
      <c r="G53" s="8" t="s">
        <v>40</v>
      </c>
      <c r="H53" s="6" t="s">
        <v>34</v>
      </c>
      <c r="I53" s="6" t="s">
        <v>65</v>
      </c>
      <c r="J53" s="6" t="s">
        <v>36</v>
      </c>
      <c r="K53" s="6" t="n">
        <v>1</v>
      </c>
      <c r="L53" s="9" t="n">
        <v>119818</v>
      </c>
      <c r="M53" s="9" t="n">
        <f aca="false">K53*L53</f>
        <v>119818</v>
      </c>
      <c r="N53" s="6" t="s">
        <v>37</v>
      </c>
    </row>
    <row r="54" customFormat="false" ht="15" hidden="false" customHeight="false" outlineLevel="0" collapsed="false">
      <c r="A54" s="6" t="s">
        <v>46</v>
      </c>
      <c r="B54" s="6" t="s">
        <v>72</v>
      </c>
      <c r="C54" s="6" t="s">
        <v>30</v>
      </c>
      <c r="D54" s="6" t="s">
        <v>31</v>
      </c>
      <c r="E54" s="7"/>
      <c r="F54" s="8" t="s">
        <v>32</v>
      </c>
      <c r="G54" s="8" t="s">
        <v>40</v>
      </c>
      <c r="H54" s="6" t="s">
        <v>34</v>
      </c>
      <c r="I54" s="6" t="s">
        <v>51</v>
      </c>
      <c r="J54" s="6" t="s">
        <v>36</v>
      </c>
      <c r="K54" s="6" t="n">
        <v>2</v>
      </c>
      <c r="L54" s="9" t="n">
        <v>119818</v>
      </c>
      <c r="M54" s="9" t="n">
        <f aca="false">K54*L54</f>
        <v>239636</v>
      </c>
      <c r="N54" s="6" t="s">
        <v>37</v>
      </c>
    </row>
    <row r="55" customFormat="false" ht="15" hidden="false" customHeight="false" outlineLevel="0" collapsed="false">
      <c r="A55" s="6" t="s">
        <v>46</v>
      </c>
      <c r="B55" s="6" t="s">
        <v>72</v>
      </c>
      <c r="C55" s="6" t="s">
        <v>30</v>
      </c>
      <c r="D55" s="6" t="s">
        <v>31</v>
      </c>
      <c r="E55" s="7"/>
      <c r="F55" s="8" t="s">
        <v>32</v>
      </c>
      <c r="G55" s="8" t="s">
        <v>40</v>
      </c>
      <c r="H55" s="6" t="s">
        <v>34</v>
      </c>
      <c r="I55" s="6" t="s">
        <v>58</v>
      </c>
      <c r="J55" s="6" t="s">
        <v>55</v>
      </c>
      <c r="K55" s="6" t="n">
        <v>3</v>
      </c>
      <c r="L55" s="9" t="n">
        <v>119818</v>
      </c>
      <c r="M55" s="9" t="n">
        <f aca="false">K55*L55</f>
        <v>359454</v>
      </c>
      <c r="N55" s="6" t="s">
        <v>37</v>
      </c>
    </row>
    <row r="56" customFormat="false" ht="15" hidden="false" customHeight="false" outlineLevel="0" collapsed="false">
      <c r="A56" s="6" t="s">
        <v>73</v>
      </c>
      <c r="B56" s="6" t="s">
        <v>74</v>
      </c>
      <c r="C56" s="6" t="s">
        <v>30</v>
      </c>
      <c r="D56" s="6" t="s">
        <v>31</v>
      </c>
      <c r="E56" s="7"/>
      <c r="F56" s="8" t="s">
        <v>32</v>
      </c>
      <c r="G56" s="8" t="s">
        <v>38</v>
      </c>
      <c r="H56" s="6" t="s">
        <v>75</v>
      </c>
      <c r="I56" s="6" t="s">
        <v>76</v>
      </c>
      <c r="J56" s="6" t="s">
        <v>77</v>
      </c>
      <c r="K56" s="6" t="n">
        <v>9900</v>
      </c>
      <c r="L56" s="9" t="n">
        <v>999</v>
      </c>
      <c r="M56" s="9" t="n">
        <f aca="false">K56*L56</f>
        <v>9890100</v>
      </c>
      <c r="N56" s="6" t="s">
        <v>37</v>
      </c>
    </row>
    <row r="57" customFormat="false" ht="15" hidden="false" customHeight="false" outlineLevel="0" collapsed="false">
      <c r="A57" s="6" t="s">
        <v>73</v>
      </c>
      <c r="B57" s="6" t="s">
        <v>74</v>
      </c>
      <c r="C57" s="6" t="s">
        <v>30</v>
      </c>
      <c r="D57" s="6" t="s">
        <v>31</v>
      </c>
      <c r="E57" s="7"/>
      <c r="F57" s="8" t="s">
        <v>32</v>
      </c>
      <c r="G57" s="8" t="s">
        <v>38</v>
      </c>
      <c r="H57" s="6" t="s">
        <v>34</v>
      </c>
      <c r="I57" s="6" t="s">
        <v>78</v>
      </c>
      <c r="J57" s="6" t="s">
        <v>77</v>
      </c>
      <c r="K57" s="6" t="n">
        <v>14</v>
      </c>
      <c r="L57" s="9" t="n">
        <v>25729</v>
      </c>
      <c r="M57" s="9" t="n">
        <f aca="false">K57*L57</f>
        <v>360206</v>
      </c>
      <c r="N57" s="6" t="s">
        <v>37</v>
      </c>
    </row>
    <row r="58" customFormat="false" ht="15" hidden="false" customHeight="false" outlineLevel="0" collapsed="false">
      <c r="A58" s="6" t="s">
        <v>73</v>
      </c>
      <c r="B58" s="6" t="s">
        <v>74</v>
      </c>
      <c r="C58" s="6" t="s">
        <v>30</v>
      </c>
      <c r="D58" s="6" t="s">
        <v>31</v>
      </c>
      <c r="E58" s="7"/>
      <c r="F58" s="8" t="s">
        <v>32</v>
      </c>
      <c r="G58" s="8" t="s">
        <v>38</v>
      </c>
      <c r="H58" s="6" t="s">
        <v>34</v>
      </c>
      <c r="I58" s="6" t="s">
        <v>79</v>
      </c>
      <c r="J58" s="6" t="s">
        <v>77</v>
      </c>
      <c r="K58" s="6" t="n">
        <v>10</v>
      </c>
      <c r="L58" s="9" t="n">
        <v>27370</v>
      </c>
      <c r="M58" s="9" t="n">
        <f aca="false">K58*L58</f>
        <v>273700</v>
      </c>
      <c r="N58" s="6" t="s">
        <v>37</v>
      </c>
    </row>
    <row r="59" customFormat="false" ht="15" hidden="false" customHeight="false" outlineLevel="0" collapsed="false">
      <c r="A59" s="6" t="s">
        <v>73</v>
      </c>
      <c r="B59" s="6" t="s">
        <v>74</v>
      </c>
      <c r="C59" s="6" t="s">
        <v>30</v>
      </c>
      <c r="D59" s="6" t="s">
        <v>31</v>
      </c>
      <c r="E59" s="7"/>
      <c r="F59" s="8" t="s">
        <v>32</v>
      </c>
      <c r="G59" s="8" t="s">
        <v>38</v>
      </c>
      <c r="H59" s="6" t="s">
        <v>34</v>
      </c>
      <c r="I59" s="6" t="s">
        <v>80</v>
      </c>
      <c r="J59" s="6" t="s">
        <v>77</v>
      </c>
      <c r="K59" s="6" t="n">
        <v>1</v>
      </c>
      <c r="L59" s="9" t="n">
        <v>90000</v>
      </c>
      <c r="M59" s="9" t="n">
        <f aca="false">K59*L59</f>
        <v>90000</v>
      </c>
      <c r="N59" s="6" t="s">
        <v>37</v>
      </c>
    </row>
    <row r="60" customFormat="false" ht="15" hidden="false" customHeight="false" outlineLevel="0" collapsed="false">
      <c r="A60" s="6" t="s">
        <v>73</v>
      </c>
      <c r="B60" s="6" t="s">
        <v>74</v>
      </c>
      <c r="C60" s="6" t="s">
        <v>30</v>
      </c>
      <c r="D60" s="6" t="s">
        <v>31</v>
      </c>
      <c r="E60" s="7"/>
      <c r="F60" s="8" t="s">
        <v>32</v>
      </c>
      <c r="G60" s="8" t="s">
        <v>38</v>
      </c>
      <c r="H60" s="6" t="s">
        <v>34</v>
      </c>
      <c r="I60" s="6" t="s">
        <v>81</v>
      </c>
      <c r="J60" s="6" t="s">
        <v>77</v>
      </c>
      <c r="K60" s="6" t="n">
        <v>8</v>
      </c>
      <c r="L60" s="9" t="n">
        <v>20000</v>
      </c>
      <c r="M60" s="9" t="n">
        <f aca="false">K60*L60</f>
        <v>160000</v>
      </c>
      <c r="N60" s="6" t="s">
        <v>37</v>
      </c>
    </row>
    <row r="61" customFormat="false" ht="15" hidden="false" customHeight="false" outlineLevel="0" collapsed="false">
      <c r="A61" s="6" t="s">
        <v>73</v>
      </c>
      <c r="B61" s="6" t="s">
        <v>74</v>
      </c>
      <c r="C61" s="6" t="s">
        <v>30</v>
      </c>
      <c r="D61" s="6" t="s">
        <v>31</v>
      </c>
      <c r="E61" s="7"/>
      <c r="F61" s="8" t="s">
        <v>32</v>
      </c>
      <c r="G61" s="8" t="s">
        <v>38</v>
      </c>
      <c r="H61" s="6" t="s">
        <v>34</v>
      </c>
      <c r="I61" s="6" t="s">
        <v>82</v>
      </c>
      <c r="J61" s="6" t="s">
        <v>77</v>
      </c>
      <c r="K61" s="6" t="n">
        <v>8</v>
      </c>
      <c r="L61" s="9" t="n">
        <v>30000</v>
      </c>
      <c r="M61" s="9" t="n">
        <f aca="false">K61*L61</f>
        <v>240000</v>
      </c>
      <c r="N61" s="6" t="s">
        <v>37</v>
      </c>
    </row>
    <row r="62" customFormat="false" ht="15" hidden="false" customHeight="false" outlineLevel="0" collapsed="false">
      <c r="A62" s="6" t="s">
        <v>73</v>
      </c>
      <c r="B62" s="6" t="s">
        <v>74</v>
      </c>
      <c r="C62" s="6" t="s">
        <v>30</v>
      </c>
      <c r="D62" s="6" t="s">
        <v>31</v>
      </c>
      <c r="E62" s="7"/>
      <c r="F62" s="8" t="s">
        <v>32</v>
      </c>
      <c r="G62" s="8" t="s">
        <v>38</v>
      </c>
      <c r="H62" s="6" t="s">
        <v>34</v>
      </c>
      <c r="I62" s="6" t="s">
        <v>83</v>
      </c>
      <c r="J62" s="6" t="s">
        <v>77</v>
      </c>
      <c r="K62" s="6" t="n">
        <v>4</v>
      </c>
      <c r="L62" s="9" t="n">
        <v>52724</v>
      </c>
      <c r="M62" s="9" t="n">
        <f aca="false">K62*L62</f>
        <v>210896</v>
      </c>
      <c r="N62" s="6" t="s">
        <v>37</v>
      </c>
    </row>
    <row r="63" customFormat="false" ht="15" hidden="false" customHeight="false" outlineLevel="0" collapsed="false">
      <c r="A63" s="6" t="s">
        <v>73</v>
      </c>
      <c r="B63" s="6" t="s">
        <v>74</v>
      </c>
      <c r="C63" s="6" t="s">
        <v>30</v>
      </c>
      <c r="D63" s="6" t="s">
        <v>31</v>
      </c>
      <c r="E63" s="7"/>
      <c r="F63" s="8" t="s">
        <v>32</v>
      </c>
      <c r="G63" s="8" t="s">
        <v>38</v>
      </c>
      <c r="H63" s="6" t="s">
        <v>34</v>
      </c>
      <c r="I63" s="6" t="s">
        <v>84</v>
      </c>
      <c r="J63" s="6" t="s">
        <v>77</v>
      </c>
      <c r="K63" s="6" t="n">
        <v>56</v>
      </c>
      <c r="L63" s="9" t="n">
        <v>1498</v>
      </c>
      <c r="M63" s="9" t="n">
        <f aca="false">K63*L63</f>
        <v>83888</v>
      </c>
      <c r="N63" s="6" t="s">
        <v>37</v>
      </c>
    </row>
    <row r="64" customFormat="false" ht="15" hidden="false" customHeight="false" outlineLevel="0" collapsed="false">
      <c r="A64" s="6" t="s">
        <v>73</v>
      </c>
      <c r="B64" s="6" t="s">
        <v>74</v>
      </c>
      <c r="C64" s="6" t="s">
        <v>30</v>
      </c>
      <c r="D64" s="6" t="s">
        <v>31</v>
      </c>
      <c r="E64" s="7"/>
      <c r="F64" s="8" t="s">
        <v>32</v>
      </c>
      <c r="G64" s="8" t="s">
        <v>38</v>
      </c>
      <c r="H64" s="6" t="s">
        <v>34</v>
      </c>
      <c r="I64" s="6" t="s">
        <v>85</v>
      </c>
      <c r="J64" s="6" t="s">
        <v>77</v>
      </c>
      <c r="K64" s="6" t="n">
        <v>30</v>
      </c>
      <c r="L64" s="9" t="n">
        <v>19795</v>
      </c>
      <c r="M64" s="9" t="n">
        <f aca="false">K64*L64</f>
        <v>593850</v>
      </c>
      <c r="N64" s="6" t="s">
        <v>37</v>
      </c>
    </row>
    <row r="65" customFormat="false" ht="15" hidden="false" customHeight="false" outlineLevel="0" collapsed="false">
      <c r="A65" s="6" t="s">
        <v>73</v>
      </c>
      <c r="B65" s="6" t="s">
        <v>74</v>
      </c>
      <c r="C65" s="6" t="s">
        <v>30</v>
      </c>
      <c r="D65" s="6" t="s">
        <v>31</v>
      </c>
      <c r="E65" s="7"/>
      <c r="F65" s="8" t="s">
        <v>32</v>
      </c>
      <c r="G65" s="8" t="s">
        <v>38</v>
      </c>
      <c r="H65" s="6" t="s">
        <v>34</v>
      </c>
      <c r="I65" s="6" t="s">
        <v>86</v>
      </c>
      <c r="J65" s="6" t="s">
        <v>77</v>
      </c>
      <c r="K65" s="6" t="n">
        <v>30</v>
      </c>
      <c r="L65" s="9" t="n">
        <v>1000</v>
      </c>
      <c r="M65" s="9" t="n">
        <f aca="false">K65*L65</f>
        <v>30000</v>
      </c>
      <c r="N65" s="6" t="s">
        <v>37</v>
      </c>
    </row>
    <row r="66" customFormat="false" ht="15" hidden="false" customHeight="false" outlineLevel="0" collapsed="false">
      <c r="A66" s="6" t="s">
        <v>73</v>
      </c>
      <c r="B66" s="6" t="s">
        <v>74</v>
      </c>
      <c r="C66" s="6" t="s">
        <v>30</v>
      </c>
      <c r="D66" s="6" t="s">
        <v>31</v>
      </c>
      <c r="E66" s="7"/>
      <c r="F66" s="8" t="s">
        <v>32</v>
      </c>
      <c r="G66" s="8" t="s">
        <v>38</v>
      </c>
      <c r="H66" s="6" t="s">
        <v>34</v>
      </c>
      <c r="I66" s="6" t="s">
        <v>87</v>
      </c>
      <c r="J66" s="6" t="s">
        <v>77</v>
      </c>
      <c r="K66" s="6" t="n">
        <v>423.2</v>
      </c>
      <c r="L66" s="9" t="n">
        <v>2760</v>
      </c>
      <c r="M66" s="9" t="n">
        <f aca="false">K66*L66</f>
        <v>1168032</v>
      </c>
      <c r="N66" s="6" t="s">
        <v>37</v>
      </c>
    </row>
    <row r="67" customFormat="false" ht="15" hidden="false" customHeight="false" outlineLevel="0" collapsed="false">
      <c r="A67" s="6" t="s">
        <v>73</v>
      </c>
      <c r="B67" s="6" t="s">
        <v>74</v>
      </c>
      <c r="C67" s="6" t="s">
        <v>30</v>
      </c>
      <c r="D67" s="6" t="s">
        <v>31</v>
      </c>
      <c r="E67" s="7"/>
      <c r="F67" s="8" t="s">
        <v>32</v>
      </c>
      <c r="G67" s="8" t="s">
        <v>38</v>
      </c>
      <c r="H67" s="6" t="s">
        <v>34</v>
      </c>
      <c r="I67" s="6" t="s">
        <v>88</v>
      </c>
      <c r="J67" s="6" t="s">
        <v>77</v>
      </c>
      <c r="K67" s="6" t="n">
        <v>423.2</v>
      </c>
      <c r="L67" s="9" t="n">
        <v>1589</v>
      </c>
      <c r="M67" s="9" t="n">
        <f aca="false">K67*L67</f>
        <v>672464.8</v>
      </c>
      <c r="N67" s="6" t="s">
        <v>37</v>
      </c>
    </row>
    <row r="68" customFormat="false" ht="15" hidden="false" customHeight="false" outlineLevel="0" collapsed="false">
      <c r="A68" s="6" t="s">
        <v>73</v>
      </c>
      <c r="B68" s="6" t="s">
        <v>74</v>
      </c>
      <c r="C68" s="6" t="s">
        <v>30</v>
      </c>
      <c r="D68" s="6" t="s">
        <v>31</v>
      </c>
      <c r="E68" s="7"/>
      <c r="F68" s="8" t="s">
        <v>32</v>
      </c>
      <c r="G68" s="8" t="s">
        <v>38</v>
      </c>
      <c r="H68" s="6" t="s">
        <v>34</v>
      </c>
      <c r="I68" s="6" t="s">
        <v>89</v>
      </c>
      <c r="J68" s="6" t="s">
        <v>77</v>
      </c>
      <c r="K68" s="6" t="n">
        <v>423.2</v>
      </c>
      <c r="L68" s="9" t="n">
        <v>1534</v>
      </c>
      <c r="M68" s="9" t="n">
        <f aca="false">K68*L68</f>
        <v>649188.8</v>
      </c>
      <c r="N68" s="6" t="s">
        <v>37</v>
      </c>
    </row>
    <row r="69" customFormat="false" ht="15" hidden="false" customHeight="false" outlineLevel="0" collapsed="false">
      <c r="A69" s="6" t="s">
        <v>90</v>
      </c>
      <c r="B69" s="6" t="s">
        <v>91</v>
      </c>
      <c r="C69" s="6" t="s">
        <v>30</v>
      </c>
      <c r="D69" s="6" t="s">
        <v>31</v>
      </c>
      <c r="E69" s="7"/>
      <c r="F69" s="8" t="s">
        <v>32</v>
      </c>
      <c r="G69" s="8" t="s">
        <v>33</v>
      </c>
      <c r="H69" s="6" t="s">
        <v>34</v>
      </c>
      <c r="I69" s="6" t="s">
        <v>92</v>
      </c>
      <c r="J69" s="6" t="s">
        <v>36</v>
      </c>
      <c r="K69" s="6" t="n">
        <v>32</v>
      </c>
      <c r="L69" s="9" t="n">
        <v>33056</v>
      </c>
      <c r="M69" s="9" t="n">
        <f aca="false">K69*L69</f>
        <v>1057792</v>
      </c>
      <c r="N69" s="6" t="s">
        <v>37</v>
      </c>
    </row>
    <row r="70" customFormat="false" ht="15" hidden="false" customHeight="false" outlineLevel="0" collapsed="false">
      <c r="A70" s="6" t="s">
        <v>93</v>
      </c>
      <c r="B70" s="6" t="s">
        <v>74</v>
      </c>
      <c r="C70" s="6" t="s">
        <v>30</v>
      </c>
      <c r="D70" s="6" t="s">
        <v>31</v>
      </c>
      <c r="E70" s="7"/>
      <c r="F70" s="8" t="s">
        <v>32</v>
      </c>
      <c r="G70" s="8" t="s">
        <v>94</v>
      </c>
      <c r="H70" s="6" t="s">
        <v>34</v>
      </c>
      <c r="I70" s="6" t="s">
        <v>95</v>
      </c>
      <c r="J70" s="6" t="s">
        <v>60</v>
      </c>
      <c r="K70" s="6" t="n">
        <v>12</v>
      </c>
      <c r="L70" s="9" t="n">
        <v>112084</v>
      </c>
      <c r="M70" s="9" t="n">
        <f aca="false">K70*L70</f>
        <v>1345008</v>
      </c>
      <c r="N70" s="6" t="s">
        <v>37</v>
      </c>
    </row>
    <row r="71" customFormat="false" ht="15" hidden="false" customHeight="false" outlineLevel="0" collapsed="false">
      <c r="A71" s="6" t="s">
        <v>96</v>
      </c>
      <c r="B71" s="6" t="s">
        <v>97</v>
      </c>
      <c r="C71" s="6" t="s">
        <v>98</v>
      </c>
      <c r="D71" s="6" t="s">
        <v>99</v>
      </c>
      <c r="E71" s="7"/>
      <c r="F71" s="8" t="s">
        <v>32</v>
      </c>
      <c r="G71" s="8" t="s">
        <v>40</v>
      </c>
      <c r="H71" s="6" t="s">
        <v>34</v>
      </c>
      <c r="I71" s="6" t="s">
        <v>100</v>
      </c>
      <c r="J71" s="6" t="s">
        <v>101</v>
      </c>
      <c r="K71" s="6" t="n">
        <v>1</v>
      </c>
      <c r="L71" s="9" t="n">
        <v>380000</v>
      </c>
      <c r="M71" s="9" t="n">
        <f aca="false">K71*L71</f>
        <v>380000</v>
      </c>
      <c r="N71" s="6" t="s">
        <v>37</v>
      </c>
    </row>
    <row r="72" customFormat="false" ht="15" hidden="false" customHeight="false" outlineLevel="0" collapsed="false">
      <c r="A72" s="6" t="s">
        <v>96</v>
      </c>
      <c r="B72" s="6" t="s">
        <v>97</v>
      </c>
      <c r="C72" s="6" t="s">
        <v>98</v>
      </c>
      <c r="D72" s="6" t="s">
        <v>99</v>
      </c>
      <c r="E72" s="7"/>
      <c r="F72" s="8" t="s">
        <v>32</v>
      </c>
      <c r="G72" s="8" t="s">
        <v>40</v>
      </c>
      <c r="H72" s="6" t="s">
        <v>34</v>
      </c>
      <c r="I72" s="6" t="s">
        <v>102</v>
      </c>
      <c r="J72" s="6" t="s">
        <v>103</v>
      </c>
      <c r="K72" s="6" t="n">
        <v>1</v>
      </c>
      <c r="L72" s="9" t="n">
        <v>390000</v>
      </c>
      <c r="M72" s="9" t="n">
        <f aca="false">K72*L72</f>
        <v>390000</v>
      </c>
      <c r="N72" s="6" t="s">
        <v>37</v>
      </c>
    </row>
    <row r="73" customFormat="false" ht="15" hidden="false" customHeight="false" outlineLevel="0" collapsed="false">
      <c r="A73" s="6" t="s">
        <v>96</v>
      </c>
      <c r="B73" s="6" t="s">
        <v>97</v>
      </c>
      <c r="C73" s="6" t="s">
        <v>98</v>
      </c>
      <c r="D73" s="6" t="s">
        <v>99</v>
      </c>
      <c r="E73" s="7"/>
      <c r="F73" s="8" t="s">
        <v>32</v>
      </c>
      <c r="G73" s="8" t="s">
        <v>40</v>
      </c>
      <c r="H73" s="6" t="s">
        <v>34</v>
      </c>
      <c r="I73" s="6" t="s">
        <v>104</v>
      </c>
      <c r="J73" s="6" t="s">
        <v>105</v>
      </c>
      <c r="K73" s="6" t="n">
        <v>1</v>
      </c>
      <c r="L73" s="9" t="n">
        <v>360000</v>
      </c>
      <c r="M73" s="9" t="n">
        <f aca="false">K73*L73</f>
        <v>360000</v>
      </c>
      <c r="N73" s="6" t="s">
        <v>37</v>
      </c>
    </row>
    <row r="74" customFormat="false" ht="15" hidden="false" customHeight="false" outlineLevel="0" collapsed="false">
      <c r="A74" s="6" t="s">
        <v>96</v>
      </c>
      <c r="B74" s="6" t="s">
        <v>97</v>
      </c>
      <c r="C74" s="6" t="s">
        <v>98</v>
      </c>
      <c r="D74" s="6" t="s">
        <v>99</v>
      </c>
      <c r="E74" s="7"/>
      <c r="F74" s="8" t="s">
        <v>32</v>
      </c>
      <c r="G74" s="8" t="s">
        <v>40</v>
      </c>
      <c r="H74" s="6" t="s">
        <v>34</v>
      </c>
      <c r="I74" s="6" t="s">
        <v>106</v>
      </c>
      <c r="J74" s="6" t="s">
        <v>107</v>
      </c>
      <c r="K74" s="6" t="n">
        <v>1</v>
      </c>
      <c r="L74" s="9" t="n">
        <v>420000</v>
      </c>
      <c r="M74" s="9" t="n">
        <f aca="false">K74*L74</f>
        <v>420000</v>
      </c>
      <c r="N74" s="6" t="s">
        <v>37</v>
      </c>
    </row>
    <row r="75" customFormat="false" ht="15" hidden="false" customHeight="false" outlineLevel="0" collapsed="false">
      <c r="A75" s="6" t="s">
        <v>96</v>
      </c>
      <c r="B75" s="6" t="s">
        <v>97</v>
      </c>
      <c r="C75" s="6" t="s">
        <v>98</v>
      </c>
      <c r="D75" s="6" t="s">
        <v>99</v>
      </c>
      <c r="E75" s="7"/>
      <c r="F75" s="8" t="s">
        <v>32</v>
      </c>
      <c r="G75" s="8" t="s">
        <v>40</v>
      </c>
      <c r="H75" s="6" t="s">
        <v>34</v>
      </c>
      <c r="I75" s="6" t="s">
        <v>108</v>
      </c>
      <c r="J75" s="6" t="s">
        <v>109</v>
      </c>
      <c r="K75" s="6" t="n">
        <v>1</v>
      </c>
      <c r="L75" s="9" t="n">
        <v>430000</v>
      </c>
      <c r="M75" s="9" t="n">
        <f aca="false">K75*L75</f>
        <v>430000</v>
      </c>
      <c r="N75" s="6" t="s">
        <v>37</v>
      </c>
    </row>
    <row r="76" customFormat="false" ht="15" hidden="false" customHeight="false" outlineLevel="0" collapsed="false">
      <c r="A76" s="6" t="s">
        <v>96</v>
      </c>
      <c r="B76" s="6" t="s">
        <v>97</v>
      </c>
      <c r="C76" s="6" t="s">
        <v>98</v>
      </c>
      <c r="D76" s="6" t="s">
        <v>99</v>
      </c>
      <c r="E76" s="7"/>
      <c r="F76" s="8" t="s">
        <v>32</v>
      </c>
      <c r="G76" s="8" t="s">
        <v>40</v>
      </c>
      <c r="H76" s="6" t="s">
        <v>34</v>
      </c>
      <c r="I76" s="6" t="s">
        <v>110</v>
      </c>
      <c r="J76" s="6" t="s">
        <v>111</v>
      </c>
      <c r="K76" s="6" t="n">
        <v>1</v>
      </c>
      <c r="L76" s="9" t="n">
        <v>400000</v>
      </c>
      <c r="M76" s="9" t="n">
        <f aca="false">K76*L76</f>
        <v>400000</v>
      </c>
      <c r="N76" s="6" t="s">
        <v>37</v>
      </c>
    </row>
    <row r="77" customFormat="false" ht="15" hidden="false" customHeight="false" outlineLevel="0" collapsed="false">
      <c r="A77" s="6" t="s">
        <v>96</v>
      </c>
      <c r="B77" s="6" t="s">
        <v>97</v>
      </c>
      <c r="C77" s="6" t="s">
        <v>98</v>
      </c>
      <c r="D77" s="6" t="s">
        <v>99</v>
      </c>
      <c r="E77" s="7"/>
      <c r="F77" s="8" t="s">
        <v>32</v>
      </c>
      <c r="G77" s="8" t="s">
        <v>40</v>
      </c>
      <c r="H77" s="6" t="s">
        <v>34</v>
      </c>
      <c r="I77" s="6" t="s">
        <v>112</v>
      </c>
      <c r="J77" s="6" t="s">
        <v>113</v>
      </c>
      <c r="K77" s="6" t="n">
        <v>1</v>
      </c>
      <c r="L77" s="9" t="n">
        <v>350000</v>
      </c>
      <c r="M77" s="9" t="n">
        <f aca="false">K77*L77</f>
        <v>350000</v>
      </c>
      <c r="N77" s="6" t="s">
        <v>37</v>
      </c>
    </row>
    <row r="78" customFormat="false" ht="15" hidden="false" customHeight="false" outlineLevel="0" collapsed="false">
      <c r="A78" s="6" t="s">
        <v>96</v>
      </c>
      <c r="B78" s="6" t="s">
        <v>97</v>
      </c>
      <c r="C78" s="6" t="s">
        <v>98</v>
      </c>
      <c r="D78" s="6" t="s">
        <v>99</v>
      </c>
      <c r="E78" s="7"/>
      <c r="F78" s="8" t="s">
        <v>32</v>
      </c>
      <c r="G78" s="8" t="s">
        <v>40</v>
      </c>
      <c r="H78" s="6" t="s">
        <v>34</v>
      </c>
      <c r="I78" s="6" t="s">
        <v>114</v>
      </c>
      <c r="J78" s="6" t="s">
        <v>113</v>
      </c>
      <c r="K78" s="6" t="n">
        <v>1</v>
      </c>
      <c r="L78" s="9" t="n">
        <v>420000</v>
      </c>
      <c r="M78" s="9" t="n">
        <f aca="false">K78*L78</f>
        <v>420000</v>
      </c>
      <c r="N78" s="6" t="s">
        <v>37</v>
      </c>
    </row>
    <row r="79" customFormat="false" ht="15" hidden="false" customHeight="false" outlineLevel="0" collapsed="false">
      <c r="A79" s="6" t="s">
        <v>96</v>
      </c>
      <c r="B79" s="6" t="s">
        <v>97</v>
      </c>
      <c r="C79" s="6" t="s">
        <v>98</v>
      </c>
      <c r="D79" s="6" t="s">
        <v>99</v>
      </c>
      <c r="E79" s="7"/>
      <c r="F79" s="8" t="s">
        <v>32</v>
      </c>
      <c r="G79" s="8" t="s">
        <v>40</v>
      </c>
      <c r="H79" s="6" t="s">
        <v>34</v>
      </c>
      <c r="I79" s="6" t="s">
        <v>115</v>
      </c>
      <c r="J79" s="6" t="s">
        <v>116</v>
      </c>
      <c r="K79" s="6" t="n">
        <v>1</v>
      </c>
      <c r="L79" s="9" t="n">
        <v>450000</v>
      </c>
      <c r="M79" s="9" t="n">
        <f aca="false">K79*L79</f>
        <v>450000</v>
      </c>
      <c r="N79" s="6" t="s">
        <v>37</v>
      </c>
    </row>
    <row r="80" customFormat="false" ht="15" hidden="false" customHeight="false" outlineLevel="0" collapsed="false">
      <c r="A80" s="6" t="s">
        <v>96</v>
      </c>
      <c r="B80" s="6" t="s">
        <v>97</v>
      </c>
      <c r="C80" s="6" t="s">
        <v>98</v>
      </c>
      <c r="D80" s="6" t="s">
        <v>99</v>
      </c>
      <c r="E80" s="7"/>
      <c r="F80" s="8" t="s">
        <v>32</v>
      </c>
      <c r="G80" s="8" t="s">
        <v>40</v>
      </c>
      <c r="H80" s="6" t="s">
        <v>34</v>
      </c>
      <c r="I80" s="6" t="s">
        <v>117</v>
      </c>
      <c r="J80" s="6" t="s">
        <v>118</v>
      </c>
      <c r="K80" s="6" t="n">
        <v>1</v>
      </c>
      <c r="L80" s="9" t="n">
        <v>270000</v>
      </c>
      <c r="M80" s="9" t="n">
        <f aca="false">K80*L80</f>
        <v>270000</v>
      </c>
      <c r="N80" s="6" t="s">
        <v>37</v>
      </c>
    </row>
    <row r="81" customFormat="false" ht="15" hidden="false" customHeight="false" outlineLevel="0" collapsed="false">
      <c r="A81" s="6" t="s">
        <v>96</v>
      </c>
      <c r="B81" s="6" t="s">
        <v>97</v>
      </c>
      <c r="C81" s="6" t="s">
        <v>98</v>
      </c>
      <c r="D81" s="6" t="s">
        <v>99</v>
      </c>
      <c r="E81" s="7"/>
      <c r="F81" s="8" t="s">
        <v>32</v>
      </c>
      <c r="G81" s="8" t="s">
        <v>40</v>
      </c>
      <c r="H81" s="6" t="s">
        <v>34</v>
      </c>
      <c r="I81" s="6" t="s">
        <v>119</v>
      </c>
      <c r="J81" s="6" t="s">
        <v>120</v>
      </c>
      <c r="K81" s="6" t="n">
        <v>1</v>
      </c>
      <c r="L81" s="9" t="n">
        <v>410000</v>
      </c>
      <c r="M81" s="9" t="n">
        <f aca="false">K81*L81</f>
        <v>410000</v>
      </c>
      <c r="N81" s="6" t="s">
        <v>37</v>
      </c>
    </row>
    <row r="82" customFormat="false" ht="15" hidden="false" customHeight="false" outlineLevel="0" collapsed="false">
      <c r="A82" s="6" t="s">
        <v>96</v>
      </c>
      <c r="B82" s="6" t="s">
        <v>97</v>
      </c>
      <c r="C82" s="6" t="s">
        <v>98</v>
      </c>
      <c r="D82" s="6" t="s">
        <v>99</v>
      </c>
      <c r="E82" s="7"/>
      <c r="F82" s="8" t="s">
        <v>32</v>
      </c>
      <c r="G82" s="8" t="s">
        <v>40</v>
      </c>
      <c r="H82" s="6" t="s">
        <v>34</v>
      </c>
      <c r="I82" s="6" t="s">
        <v>121</v>
      </c>
      <c r="J82" s="6" t="s">
        <v>122</v>
      </c>
      <c r="K82" s="6" t="n">
        <v>1</v>
      </c>
      <c r="L82" s="9" t="n">
        <v>480000</v>
      </c>
      <c r="M82" s="9" t="n">
        <f aca="false">K82*L82</f>
        <v>480000</v>
      </c>
      <c r="N82" s="6" t="s">
        <v>37</v>
      </c>
    </row>
    <row r="83" customFormat="false" ht="15" hidden="false" customHeight="false" outlineLevel="0" collapsed="false">
      <c r="A83" s="6" t="s">
        <v>96</v>
      </c>
      <c r="B83" s="6" t="s">
        <v>97</v>
      </c>
      <c r="C83" s="6" t="s">
        <v>98</v>
      </c>
      <c r="D83" s="6" t="s">
        <v>99</v>
      </c>
      <c r="E83" s="7"/>
      <c r="F83" s="8" t="s">
        <v>32</v>
      </c>
      <c r="G83" s="8" t="s">
        <v>40</v>
      </c>
      <c r="H83" s="6" t="s">
        <v>34</v>
      </c>
      <c r="I83" s="6" t="s">
        <v>123</v>
      </c>
      <c r="J83" s="6" t="s">
        <v>124</v>
      </c>
      <c r="K83" s="6" t="n">
        <v>1</v>
      </c>
      <c r="L83" s="9" t="n">
        <v>380000</v>
      </c>
      <c r="M83" s="9" t="n">
        <f aca="false">K83*L83</f>
        <v>380000</v>
      </c>
      <c r="N83" s="6" t="s">
        <v>37</v>
      </c>
    </row>
    <row r="84" customFormat="false" ht="15" hidden="false" customHeight="false" outlineLevel="0" collapsed="false">
      <c r="A84" s="6" t="s">
        <v>96</v>
      </c>
      <c r="B84" s="6" t="s">
        <v>97</v>
      </c>
      <c r="C84" s="6" t="s">
        <v>98</v>
      </c>
      <c r="D84" s="6" t="s">
        <v>99</v>
      </c>
      <c r="E84" s="7"/>
      <c r="F84" s="8" t="s">
        <v>32</v>
      </c>
      <c r="G84" s="8" t="s">
        <v>40</v>
      </c>
      <c r="H84" s="6" t="s">
        <v>34</v>
      </c>
      <c r="I84" s="6" t="s">
        <v>125</v>
      </c>
      <c r="J84" s="6" t="s">
        <v>126</v>
      </c>
      <c r="K84" s="6" t="n">
        <v>1</v>
      </c>
      <c r="L84" s="9" t="n">
        <v>420000</v>
      </c>
      <c r="M84" s="9" t="n">
        <f aca="false">K84*L84</f>
        <v>420000</v>
      </c>
      <c r="N84" s="6" t="s">
        <v>37</v>
      </c>
    </row>
    <row r="85" customFormat="false" ht="15" hidden="false" customHeight="false" outlineLevel="0" collapsed="false">
      <c r="A85" s="6" t="s">
        <v>96</v>
      </c>
      <c r="B85" s="6" t="s">
        <v>97</v>
      </c>
      <c r="C85" s="6" t="s">
        <v>98</v>
      </c>
      <c r="D85" s="6" t="s">
        <v>99</v>
      </c>
      <c r="E85" s="7"/>
      <c r="F85" s="8" t="s">
        <v>32</v>
      </c>
      <c r="G85" s="8" t="s">
        <v>40</v>
      </c>
      <c r="H85" s="6" t="s">
        <v>34</v>
      </c>
      <c r="I85" s="6" t="s">
        <v>127</v>
      </c>
      <c r="J85" s="6" t="s">
        <v>128</v>
      </c>
      <c r="K85" s="6" t="n">
        <v>1</v>
      </c>
      <c r="L85" s="9" t="n">
        <v>460000</v>
      </c>
      <c r="M85" s="9" t="n">
        <f aca="false">K85*L85</f>
        <v>460000</v>
      </c>
      <c r="N85" s="6" t="s">
        <v>37</v>
      </c>
    </row>
    <row r="86" customFormat="false" ht="15" hidden="false" customHeight="false" outlineLevel="0" collapsed="false">
      <c r="A86" s="6" t="s">
        <v>96</v>
      </c>
      <c r="B86" s="6" t="s">
        <v>97</v>
      </c>
      <c r="C86" s="6" t="s">
        <v>98</v>
      </c>
      <c r="D86" s="6" t="s">
        <v>99</v>
      </c>
      <c r="E86" s="7"/>
      <c r="F86" s="8" t="s">
        <v>32</v>
      </c>
      <c r="G86" s="8" t="s">
        <v>40</v>
      </c>
      <c r="H86" s="6" t="s">
        <v>34</v>
      </c>
      <c r="I86" s="6" t="s">
        <v>129</v>
      </c>
      <c r="J86" s="6" t="s">
        <v>130</v>
      </c>
      <c r="K86" s="6" t="n">
        <v>1</v>
      </c>
      <c r="L86" s="9" t="n">
        <v>400000</v>
      </c>
      <c r="M86" s="9" t="n">
        <f aca="false">K86*L86</f>
        <v>400000</v>
      </c>
      <c r="N86" s="6" t="s">
        <v>37</v>
      </c>
    </row>
    <row r="87" customFormat="false" ht="15" hidden="false" customHeight="false" outlineLevel="0" collapsed="false">
      <c r="A87" s="6" t="s">
        <v>96</v>
      </c>
      <c r="B87" s="6" t="s">
        <v>97</v>
      </c>
      <c r="C87" s="6" t="s">
        <v>98</v>
      </c>
      <c r="D87" s="6" t="s">
        <v>99</v>
      </c>
      <c r="E87" s="7"/>
      <c r="F87" s="8" t="s">
        <v>32</v>
      </c>
      <c r="G87" s="8" t="s">
        <v>40</v>
      </c>
      <c r="H87" s="6" t="s">
        <v>34</v>
      </c>
      <c r="I87" s="6" t="s">
        <v>131</v>
      </c>
      <c r="J87" s="6" t="s">
        <v>132</v>
      </c>
      <c r="K87" s="6" t="n">
        <v>1</v>
      </c>
      <c r="L87" s="9" t="n">
        <v>390000</v>
      </c>
      <c r="M87" s="9" t="n">
        <f aca="false">K87*L87</f>
        <v>390000</v>
      </c>
      <c r="N87" s="6" t="s">
        <v>37</v>
      </c>
    </row>
    <row r="88" customFormat="false" ht="15" hidden="false" customHeight="false" outlineLevel="0" collapsed="false">
      <c r="A88" s="6" t="s">
        <v>96</v>
      </c>
      <c r="B88" s="6" t="s">
        <v>97</v>
      </c>
      <c r="C88" s="6" t="s">
        <v>98</v>
      </c>
      <c r="D88" s="6" t="s">
        <v>99</v>
      </c>
      <c r="E88" s="7"/>
      <c r="F88" s="8" t="s">
        <v>32</v>
      </c>
      <c r="G88" s="8" t="s">
        <v>40</v>
      </c>
      <c r="H88" s="6" t="s">
        <v>34</v>
      </c>
      <c r="I88" s="6" t="s">
        <v>133</v>
      </c>
      <c r="J88" s="6" t="s">
        <v>134</v>
      </c>
      <c r="K88" s="6" t="n">
        <v>1</v>
      </c>
      <c r="L88" s="9" t="n">
        <v>480000</v>
      </c>
      <c r="M88" s="9" t="n">
        <f aca="false">K88*L88</f>
        <v>480000</v>
      </c>
      <c r="N88" s="6" t="s">
        <v>37</v>
      </c>
    </row>
    <row r="89" customFormat="false" ht="15" hidden="false" customHeight="false" outlineLevel="0" collapsed="false">
      <c r="A89" s="6" t="s">
        <v>96</v>
      </c>
      <c r="B89" s="6" t="s">
        <v>97</v>
      </c>
      <c r="C89" s="6" t="s">
        <v>98</v>
      </c>
      <c r="D89" s="6" t="s">
        <v>99</v>
      </c>
      <c r="E89" s="7"/>
      <c r="F89" s="8" t="s">
        <v>32</v>
      </c>
      <c r="G89" s="8" t="s">
        <v>40</v>
      </c>
      <c r="H89" s="6" t="s">
        <v>34</v>
      </c>
      <c r="I89" s="6" t="s">
        <v>135</v>
      </c>
      <c r="J89" s="6" t="s">
        <v>136</v>
      </c>
      <c r="K89" s="6" t="n">
        <v>1</v>
      </c>
      <c r="L89" s="9" t="n">
        <v>380000</v>
      </c>
      <c r="M89" s="9" t="n">
        <f aca="false">K89*L89</f>
        <v>380000</v>
      </c>
      <c r="N89" s="6" t="s">
        <v>37</v>
      </c>
    </row>
    <row r="90" customFormat="false" ht="15" hidden="false" customHeight="false" outlineLevel="0" collapsed="false">
      <c r="A90" s="6" t="s">
        <v>96</v>
      </c>
      <c r="B90" s="6" t="s">
        <v>97</v>
      </c>
      <c r="C90" s="6" t="s">
        <v>98</v>
      </c>
      <c r="D90" s="6" t="s">
        <v>99</v>
      </c>
      <c r="E90" s="7"/>
      <c r="F90" s="8" t="s">
        <v>32</v>
      </c>
      <c r="G90" s="8" t="s">
        <v>40</v>
      </c>
      <c r="H90" s="6" t="s">
        <v>34</v>
      </c>
      <c r="I90" s="6" t="s">
        <v>137</v>
      </c>
      <c r="J90" s="6" t="s">
        <v>138</v>
      </c>
      <c r="K90" s="6" t="n">
        <v>1</v>
      </c>
      <c r="L90" s="9" t="n">
        <v>360000</v>
      </c>
      <c r="M90" s="9" t="n">
        <f aca="false">K90*L90</f>
        <v>360000</v>
      </c>
      <c r="N90" s="6" t="s">
        <v>37</v>
      </c>
    </row>
    <row r="91" customFormat="false" ht="15" hidden="false" customHeight="false" outlineLevel="0" collapsed="false">
      <c r="A91" s="6" t="s">
        <v>96</v>
      </c>
      <c r="B91" s="6" t="s">
        <v>97</v>
      </c>
      <c r="C91" s="6" t="s">
        <v>98</v>
      </c>
      <c r="D91" s="6" t="s">
        <v>99</v>
      </c>
      <c r="E91" s="7"/>
      <c r="F91" s="8" t="s">
        <v>32</v>
      </c>
      <c r="G91" s="8" t="s">
        <v>40</v>
      </c>
      <c r="H91" s="6" t="s">
        <v>34</v>
      </c>
      <c r="I91" s="6" t="s">
        <v>139</v>
      </c>
      <c r="J91" s="6" t="s">
        <v>113</v>
      </c>
      <c r="K91" s="6" t="n">
        <v>1</v>
      </c>
      <c r="L91" s="9" t="n">
        <v>370000</v>
      </c>
      <c r="M91" s="9" t="n">
        <f aca="false">K91*L91</f>
        <v>370000</v>
      </c>
      <c r="N91" s="6" t="s">
        <v>37</v>
      </c>
    </row>
    <row r="92" customFormat="false" ht="15" hidden="false" customHeight="false" outlineLevel="0" collapsed="false">
      <c r="A92" s="6" t="s">
        <v>96</v>
      </c>
      <c r="B92" s="6" t="s">
        <v>97</v>
      </c>
      <c r="C92" s="6" t="s">
        <v>98</v>
      </c>
      <c r="D92" s="6" t="s">
        <v>99</v>
      </c>
      <c r="E92" s="7"/>
      <c r="F92" s="8" t="s">
        <v>32</v>
      </c>
      <c r="G92" s="8" t="s">
        <v>40</v>
      </c>
      <c r="H92" s="6" t="s">
        <v>34</v>
      </c>
      <c r="I92" s="6" t="s">
        <v>140</v>
      </c>
      <c r="J92" s="6" t="s">
        <v>141</v>
      </c>
      <c r="K92" s="6" t="n">
        <v>1</v>
      </c>
      <c r="L92" s="9" t="n">
        <v>410000</v>
      </c>
      <c r="M92" s="9" t="n">
        <f aca="false">K92*L92</f>
        <v>410000</v>
      </c>
      <c r="N92" s="6" t="s">
        <v>37</v>
      </c>
    </row>
    <row r="93" customFormat="false" ht="15" hidden="false" customHeight="false" outlineLevel="0" collapsed="false">
      <c r="A93" s="6" t="s">
        <v>96</v>
      </c>
      <c r="B93" s="6" t="s">
        <v>97</v>
      </c>
      <c r="C93" s="6" t="s">
        <v>98</v>
      </c>
      <c r="D93" s="6" t="s">
        <v>99</v>
      </c>
      <c r="E93" s="7"/>
      <c r="F93" s="8" t="s">
        <v>32</v>
      </c>
      <c r="G93" s="8" t="s">
        <v>40</v>
      </c>
      <c r="H93" s="6" t="s">
        <v>34</v>
      </c>
      <c r="I93" s="6" t="s">
        <v>142</v>
      </c>
      <c r="J93" s="6" t="s">
        <v>143</v>
      </c>
      <c r="K93" s="6" t="n">
        <v>1</v>
      </c>
      <c r="L93" s="9" t="n">
        <v>430000</v>
      </c>
      <c r="M93" s="9" t="n">
        <f aca="false">K93*L93</f>
        <v>430000</v>
      </c>
      <c r="N93" s="6" t="s">
        <v>37</v>
      </c>
    </row>
    <row r="94" customFormat="false" ht="15" hidden="false" customHeight="false" outlineLevel="0" collapsed="false">
      <c r="A94" s="6" t="s">
        <v>96</v>
      </c>
      <c r="B94" s="6" t="s">
        <v>97</v>
      </c>
      <c r="C94" s="6" t="s">
        <v>98</v>
      </c>
      <c r="D94" s="6" t="s">
        <v>99</v>
      </c>
      <c r="E94" s="7"/>
      <c r="F94" s="8" t="s">
        <v>32</v>
      </c>
      <c r="G94" s="8" t="s">
        <v>40</v>
      </c>
      <c r="H94" s="6" t="s">
        <v>34</v>
      </c>
      <c r="I94" s="6" t="s">
        <v>144</v>
      </c>
      <c r="J94" s="6" t="s">
        <v>113</v>
      </c>
      <c r="K94" s="6" t="n">
        <v>1</v>
      </c>
      <c r="L94" s="9" t="n">
        <v>290000</v>
      </c>
      <c r="M94" s="9" t="n">
        <f aca="false">K94*L94</f>
        <v>290000</v>
      </c>
      <c r="N94" s="6" t="s">
        <v>37</v>
      </c>
    </row>
    <row r="95" customFormat="false" ht="15" hidden="false" customHeight="false" outlineLevel="0" collapsed="false">
      <c r="A95" s="6" t="s">
        <v>96</v>
      </c>
      <c r="B95" s="6" t="s">
        <v>97</v>
      </c>
      <c r="C95" s="6" t="s">
        <v>98</v>
      </c>
      <c r="D95" s="6" t="s">
        <v>99</v>
      </c>
      <c r="E95" s="7"/>
      <c r="F95" s="8" t="s">
        <v>32</v>
      </c>
      <c r="G95" s="8" t="s">
        <v>40</v>
      </c>
      <c r="H95" s="6" t="s">
        <v>34</v>
      </c>
      <c r="I95" s="6" t="s">
        <v>145</v>
      </c>
      <c r="J95" s="6" t="s">
        <v>146</v>
      </c>
      <c r="K95" s="6" t="n">
        <v>1</v>
      </c>
      <c r="L95" s="9" t="n">
        <v>185000</v>
      </c>
      <c r="M95" s="9" t="n">
        <f aca="false">K95*L95</f>
        <v>185000</v>
      </c>
      <c r="N95" s="6" t="s">
        <v>37</v>
      </c>
    </row>
    <row r="96" customFormat="false" ht="15" hidden="false" customHeight="false" outlineLevel="0" collapsed="false">
      <c r="A96" s="6" t="s">
        <v>96</v>
      </c>
      <c r="B96" s="6" t="s">
        <v>97</v>
      </c>
      <c r="C96" s="6" t="s">
        <v>98</v>
      </c>
      <c r="D96" s="6" t="s">
        <v>99</v>
      </c>
      <c r="E96" s="7"/>
      <c r="F96" s="8" t="s">
        <v>32</v>
      </c>
      <c r="G96" s="8" t="s">
        <v>40</v>
      </c>
      <c r="H96" s="6" t="s">
        <v>34</v>
      </c>
      <c r="I96" s="6" t="s">
        <v>147</v>
      </c>
      <c r="J96" s="6" t="s">
        <v>146</v>
      </c>
      <c r="K96" s="6" t="n">
        <v>1</v>
      </c>
      <c r="L96" s="9" t="n">
        <v>185000</v>
      </c>
      <c r="M96" s="9" t="n">
        <f aca="false">K96*L96</f>
        <v>185000</v>
      </c>
      <c r="N96" s="6" t="s">
        <v>37</v>
      </c>
    </row>
    <row r="97" customFormat="false" ht="15" hidden="false" customHeight="false" outlineLevel="0" collapsed="false">
      <c r="I97" s="10" t="s">
        <v>148</v>
      </c>
      <c r="M97" s="11" t="n">
        <f aca="false">SUM(M2:M96)</f>
        <v>41451508.6</v>
      </c>
    </row>
  </sheetData>
  <dataValidations count="2">
    <dataValidation allowBlank="false" errorStyle="stop" operator="between" showDropDown="false" showErrorMessage="false" showInputMessage="false" sqref="D2:D96" type="list">
      <formula1>"OLAS,MANANTIALES"</formula1>
      <formula2>0</formula2>
    </dataValidation>
    <dataValidation allowBlank="false" errorStyle="stop" operator="between" showDropDown="false" showErrorMessage="false" showInputMessage="false" sqref="N2:N96" type="list">
      <formula1>"PENDIENTE,EN PROCESO,CERRADO"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2026-07-22T18:27:02Z</dcterms:created>
  <dc:creator>openpyxl</dc:creator>
  <dc:description/>
  <dc:language>en-US</dc:language>
  <cp:lastModifiedBy/>
  <dcterms:modified xsi:type="dcterms:W3CDTF">2026-07-22T18:27:02Z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